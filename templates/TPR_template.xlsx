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xr:revisionPtr revIDLastSave="0" documentId="8_{656381CD-56CA-4481-95E6-735C968FF968}" xr6:coauthVersionLast="47" xr6:coauthVersionMax="47" xr10:uidLastSave="{00000000-0000-0000-0000-000000000000}"/>
  <bookViews>
    <workbookView xWindow="2304" yWindow="2304" windowWidth="23340" windowHeight="17460" tabRatio="762" activeTab="4" xr2:uid="{00000000-000D-0000-FFFF-FFFF00000000}"/>
  </bookViews>
  <sheets>
    <sheet name="Overall status" sheetId="1" r:id="rId1"/>
    <sheet name="Tool Version" sheetId="2" r:id="rId2"/>
    <sheet name="Thermal" sheetId="4" r:id="rId3"/>
    <sheet name="Keyboard Temperature" sheetId="9" r:id="rId4"/>
    <sheet name="Battery life" sheetId="5" r:id="rId5"/>
    <sheet name="Performance" sheetId="3" r:id="rId6"/>
    <sheet name="iGPU" sheetId="11" r:id="rId7"/>
    <sheet name="Creator" sheetId="10" r:id="rId8"/>
    <sheet name="Graphs" sheetId="6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4" i="10" l="1"/>
  <c r="L24" i="10"/>
  <c r="G24" i="10"/>
  <c r="Q22" i="10"/>
  <c r="AV4" i="10" s="1"/>
  <c r="L22" i="10"/>
  <c r="G22" i="10"/>
  <c r="Q20" i="10"/>
  <c r="L20" i="10"/>
  <c r="AT3" i="10" s="1"/>
  <c r="G20" i="10"/>
  <c r="Q19" i="10"/>
  <c r="L19" i="10"/>
  <c r="G19" i="10"/>
  <c r="Q18" i="10"/>
  <c r="L18" i="10"/>
  <c r="AR3" i="10" s="1"/>
  <c r="G18" i="10"/>
  <c r="Q17" i="10"/>
  <c r="AQ4" i="10" s="1"/>
  <c r="L17" i="10"/>
  <c r="AQ3" i="10" s="1"/>
  <c r="G17" i="10"/>
  <c r="Q15" i="10"/>
  <c r="AP4" i="10" s="1"/>
  <c r="L15" i="10"/>
  <c r="AP3" i="10" s="1"/>
  <c r="G15" i="10"/>
  <c r="AN4" i="10" s="1"/>
  <c r="Q14" i="10"/>
  <c r="L14" i="10"/>
  <c r="G14" i="10"/>
  <c r="Q13" i="10"/>
  <c r="L13" i="10"/>
  <c r="G13" i="10"/>
  <c r="Q12" i="10"/>
  <c r="L12" i="10"/>
  <c r="G12" i="10"/>
  <c r="Q11" i="10"/>
  <c r="L11" i="10"/>
  <c r="AL3" i="10" s="1"/>
  <c r="G11" i="10"/>
  <c r="Q9" i="10"/>
  <c r="L9" i="10"/>
  <c r="G9" i="10"/>
  <c r="AK2" i="10" s="1"/>
  <c r="Q8" i="10"/>
  <c r="L8" i="10"/>
  <c r="G8" i="10"/>
  <c r="Q7" i="10"/>
  <c r="L7" i="10"/>
  <c r="AI3" i="10" s="1"/>
  <c r="G7" i="10"/>
  <c r="Q5" i="10"/>
  <c r="AH4" i="10" s="1"/>
  <c r="L5" i="10"/>
  <c r="AH3" i="10" s="1"/>
  <c r="G5" i="10"/>
  <c r="AW4" i="10"/>
  <c r="AU4" i="10"/>
  <c r="AT4" i="10"/>
  <c r="AS4" i="10"/>
  <c r="AR4" i="10"/>
  <c r="AO4" i="10"/>
  <c r="AM4" i="10"/>
  <c r="AL4" i="10"/>
  <c r="AK4" i="10"/>
  <c r="AJ4" i="10"/>
  <c r="AI4" i="10"/>
  <c r="Q4" i="10"/>
  <c r="AF4" i="10" s="1"/>
  <c r="L4" i="10"/>
  <c r="AF3" i="10" s="1"/>
  <c r="G4" i="10"/>
  <c r="AW3" i="10"/>
  <c r="AV3" i="10"/>
  <c r="AU3" i="10"/>
  <c r="AS3" i="10"/>
  <c r="AO3" i="10"/>
  <c r="AN3" i="10"/>
  <c r="AM3" i="10"/>
  <c r="AK3" i="10"/>
  <c r="AJ3" i="10"/>
  <c r="Q3" i="10"/>
  <c r="AE4" i="10" s="1"/>
  <c r="L3" i="10"/>
  <c r="AE3" i="10" s="1"/>
  <c r="G3" i="10"/>
  <c r="AE2" i="10" s="1"/>
  <c r="AW2" i="10"/>
  <c r="AV2" i="10"/>
  <c r="AU2" i="10"/>
  <c r="AT2" i="10"/>
  <c r="AS2" i="10"/>
  <c r="AR2" i="10"/>
  <c r="AQ2" i="10"/>
  <c r="AO2" i="10"/>
  <c r="AN2" i="10"/>
  <c r="AM2" i="10"/>
  <c r="AL2" i="10"/>
  <c r="AJ2" i="10"/>
  <c r="AI2" i="10"/>
  <c r="AH2" i="10"/>
  <c r="AF2" i="10"/>
  <c r="Q14" i="11"/>
  <c r="L14" i="11"/>
  <c r="G14" i="11"/>
  <c r="Q12" i="11"/>
  <c r="L12" i="11"/>
  <c r="G12" i="11"/>
  <c r="Q11" i="11"/>
  <c r="L11" i="11"/>
  <c r="G11" i="11"/>
  <c r="Q10" i="11"/>
  <c r="L10" i="11"/>
  <c r="G10" i="11"/>
  <c r="Q8" i="11"/>
  <c r="L8" i="11"/>
  <c r="G8" i="11"/>
  <c r="Q7" i="11"/>
  <c r="L7" i="11"/>
  <c r="G7" i="11"/>
  <c r="Q5" i="11"/>
  <c r="L5" i="11"/>
  <c r="G5" i="11"/>
  <c r="AG2" i="11" s="1"/>
  <c r="Q4" i="11"/>
  <c r="L4" i="11"/>
  <c r="G4" i="11"/>
  <c r="AF2" i="11" s="1"/>
  <c r="Q3" i="11"/>
  <c r="L3" i="11"/>
  <c r="G3" i="11"/>
  <c r="AK2" i="11"/>
  <c r="AJ2" i="11"/>
  <c r="AI2" i="11"/>
  <c r="AH2" i="11"/>
  <c r="AE2" i="11"/>
  <c r="Q214" i="3"/>
  <c r="L214" i="3"/>
  <c r="G214" i="3"/>
  <c r="Q213" i="3"/>
  <c r="L213" i="3"/>
  <c r="G213" i="3"/>
  <c r="Q212" i="3"/>
  <c r="L212" i="3"/>
  <c r="G212" i="3"/>
  <c r="Q211" i="3"/>
  <c r="L211" i="3"/>
  <c r="G211" i="3"/>
  <c r="Q210" i="3"/>
  <c r="L210" i="3"/>
  <c r="G210" i="3"/>
  <c r="Q209" i="3"/>
  <c r="L209" i="3"/>
  <c r="G209" i="3"/>
  <c r="Q208" i="3"/>
  <c r="L208" i="3"/>
  <c r="G208" i="3"/>
  <c r="Q206" i="3"/>
  <c r="L206" i="3"/>
  <c r="G206" i="3"/>
  <c r="Q205" i="3"/>
  <c r="L205" i="3"/>
  <c r="G205" i="3"/>
  <c r="Q204" i="3"/>
  <c r="L204" i="3"/>
  <c r="G204" i="3"/>
  <c r="Q203" i="3"/>
  <c r="L203" i="3"/>
  <c r="G203" i="3"/>
  <c r="Q202" i="3"/>
  <c r="L202" i="3"/>
  <c r="G202" i="3"/>
  <c r="Q201" i="3"/>
  <c r="L201" i="3"/>
  <c r="G201" i="3"/>
  <c r="Q200" i="3"/>
  <c r="L200" i="3"/>
  <c r="G200" i="3"/>
  <c r="Q198" i="3"/>
  <c r="L198" i="3"/>
  <c r="G198" i="3"/>
  <c r="Q197" i="3"/>
  <c r="L197" i="3"/>
  <c r="G197" i="3"/>
  <c r="Q196" i="3"/>
  <c r="L196" i="3"/>
  <c r="G196" i="3"/>
  <c r="Q195" i="3"/>
  <c r="L195" i="3"/>
  <c r="G195" i="3"/>
  <c r="Q194" i="3"/>
  <c r="L194" i="3"/>
  <c r="G194" i="3"/>
  <c r="Q193" i="3"/>
  <c r="L193" i="3"/>
  <c r="G193" i="3"/>
  <c r="Q192" i="3"/>
  <c r="L192" i="3"/>
  <c r="G192" i="3"/>
  <c r="Q190" i="3"/>
  <c r="L190" i="3"/>
  <c r="G190" i="3"/>
  <c r="Q189" i="3"/>
  <c r="L189" i="3"/>
  <c r="G189" i="3"/>
  <c r="Q188" i="3"/>
  <c r="L188" i="3"/>
  <c r="G188" i="3"/>
  <c r="Q187" i="3"/>
  <c r="L187" i="3"/>
  <c r="G187" i="3"/>
  <c r="Q186" i="3"/>
  <c r="L186" i="3"/>
  <c r="G186" i="3"/>
  <c r="Q185" i="3"/>
  <c r="L185" i="3"/>
  <c r="G185" i="3"/>
  <c r="Q184" i="3"/>
  <c r="L184" i="3"/>
  <c r="G184" i="3"/>
  <c r="Q182" i="3"/>
  <c r="L182" i="3"/>
  <c r="G182" i="3"/>
  <c r="Q181" i="3"/>
  <c r="L181" i="3"/>
  <c r="G181" i="3"/>
  <c r="Q180" i="3"/>
  <c r="L180" i="3"/>
  <c r="G180" i="3"/>
  <c r="Q179" i="3"/>
  <c r="L179" i="3"/>
  <c r="G179" i="3"/>
  <c r="Q178" i="3"/>
  <c r="L178" i="3"/>
  <c r="G178" i="3"/>
  <c r="Q177" i="3"/>
  <c r="L177" i="3"/>
  <c r="G177" i="3"/>
  <c r="Q176" i="3"/>
  <c r="L176" i="3"/>
  <c r="G176" i="3"/>
  <c r="Q174" i="3"/>
  <c r="L174" i="3"/>
  <c r="G174" i="3"/>
  <c r="Q173" i="3"/>
  <c r="L173" i="3"/>
  <c r="G173" i="3"/>
  <c r="Q172" i="3"/>
  <c r="L172" i="3"/>
  <c r="AM18" i="3" s="1"/>
  <c r="G172" i="3"/>
  <c r="Q168" i="3"/>
  <c r="AM16" i="3" s="1"/>
  <c r="L168" i="3"/>
  <c r="G168" i="3"/>
  <c r="Q167" i="3"/>
  <c r="L167" i="3"/>
  <c r="G167" i="3"/>
  <c r="Q166" i="3"/>
  <c r="AM14" i="3" s="1"/>
  <c r="L166" i="3"/>
  <c r="G166" i="3"/>
  <c r="Q165" i="3"/>
  <c r="L165" i="3"/>
  <c r="G165" i="3"/>
  <c r="Q164" i="3"/>
  <c r="L164" i="3"/>
  <c r="G164" i="3"/>
  <c r="Q163" i="3"/>
  <c r="L163" i="3"/>
  <c r="AM10" i="3" s="1"/>
  <c r="G163" i="3"/>
  <c r="Q161" i="3"/>
  <c r="L161" i="3"/>
  <c r="G161" i="3"/>
  <c r="Q160" i="3"/>
  <c r="L160" i="3"/>
  <c r="G160" i="3"/>
  <c r="Q159" i="3"/>
  <c r="AK19" i="3" s="1"/>
  <c r="L159" i="3"/>
  <c r="AK18" i="3" s="1"/>
  <c r="G159" i="3"/>
  <c r="Q155" i="3"/>
  <c r="AK16" i="3" s="1"/>
  <c r="L155" i="3"/>
  <c r="G155" i="3"/>
  <c r="Q154" i="3"/>
  <c r="L154" i="3"/>
  <c r="G154" i="3"/>
  <c r="Q153" i="3"/>
  <c r="L153" i="3"/>
  <c r="G153" i="3"/>
  <c r="Q152" i="3"/>
  <c r="L152" i="3"/>
  <c r="G152" i="3"/>
  <c r="Q151" i="3"/>
  <c r="L151" i="3"/>
  <c r="G151" i="3"/>
  <c r="Q150" i="3"/>
  <c r="L150" i="3"/>
  <c r="AK10" i="3" s="1"/>
  <c r="G150" i="3"/>
  <c r="Q148" i="3"/>
  <c r="L148" i="3"/>
  <c r="G148" i="3"/>
  <c r="Q147" i="3"/>
  <c r="AJ19" i="3" s="1"/>
  <c r="L147" i="3"/>
  <c r="AJ18" i="3" s="1"/>
  <c r="G147" i="3"/>
  <c r="Q144" i="3"/>
  <c r="AJ16" i="3" s="1"/>
  <c r="L144" i="3"/>
  <c r="G144" i="3"/>
  <c r="Q143" i="3"/>
  <c r="AJ14" i="3" s="1"/>
  <c r="L143" i="3"/>
  <c r="G143" i="3"/>
  <c r="Q142" i="3"/>
  <c r="L142" i="3"/>
  <c r="G142" i="3"/>
  <c r="Q141" i="3"/>
  <c r="AI17" i="3" s="1"/>
  <c r="L141" i="3"/>
  <c r="G141" i="3"/>
  <c r="Q139" i="3"/>
  <c r="L139" i="3"/>
  <c r="G139" i="3"/>
  <c r="Q138" i="3"/>
  <c r="L138" i="3"/>
  <c r="G138" i="3"/>
  <c r="Q135" i="3"/>
  <c r="L135" i="3"/>
  <c r="G135" i="3"/>
  <c r="Q134" i="3"/>
  <c r="L134" i="3"/>
  <c r="G134" i="3"/>
  <c r="Q133" i="3"/>
  <c r="L133" i="3"/>
  <c r="G133" i="3"/>
  <c r="Q132" i="3"/>
  <c r="L132" i="3"/>
  <c r="G132" i="3"/>
  <c r="Q130" i="3"/>
  <c r="L130" i="3"/>
  <c r="G130" i="3"/>
  <c r="Q128" i="3"/>
  <c r="L128" i="3"/>
  <c r="G128" i="3"/>
  <c r="Q127" i="3"/>
  <c r="L127" i="3"/>
  <c r="G127" i="3"/>
  <c r="Q125" i="3"/>
  <c r="L125" i="3"/>
  <c r="G125" i="3"/>
  <c r="Q124" i="3"/>
  <c r="L124" i="3"/>
  <c r="G124" i="3"/>
  <c r="Q123" i="3"/>
  <c r="L123" i="3"/>
  <c r="G123" i="3"/>
  <c r="Q119" i="3"/>
  <c r="L119" i="3"/>
  <c r="G119" i="3"/>
  <c r="Q118" i="3"/>
  <c r="L118" i="3"/>
  <c r="G118" i="3"/>
  <c r="Q117" i="3"/>
  <c r="L117" i="3"/>
  <c r="G117" i="3"/>
  <c r="Q116" i="3"/>
  <c r="L116" i="3"/>
  <c r="G116" i="3"/>
  <c r="Q115" i="3"/>
  <c r="L115" i="3"/>
  <c r="G115" i="3"/>
  <c r="Q114" i="3"/>
  <c r="L114" i="3"/>
  <c r="G114" i="3"/>
  <c r="Q112" i="3"/>
  <c r="L112" i="3"/>
  <c r="G112" i="3"/>
  <c r="Q111" i="3"/>
  <c r="L111" i="3"/>
  <c r="G111" i="3"/>
  <c r="Q110" i="3"/>
  <c r="AI19" i="3" s="1"/>
  <c r="L110" i="3"/>
  <c r="AI18" i="3" s="1"/>
  <c r="G110" i="3"/>
  <c r="AI15" i="3" s="1"/>
  <c r="Q106" i="3"/>
  <c r="AI16" i="3" s="1"/>
  <c r="L106" i="3"/>
  <c r="G106" i="3"/>
  <c r="Q105" i="3"/>
  <c r="L105" i="3"/>
  <c r="G105" i="3"/>
  <c r="Q104" i="3"/>
  <c r="L104" i="3"/>
  <c r="G104" i="3"/>
  <c r="AI12" i="3" s="1"/>
  <c r="Q103" i="3"/>
  <c r="L103" i="3"/>
  <c r="G103" i="3"/>
  <c r="Q102" i="3"/>
  <c r="L102" i="3"/>
  <c r="G102" i="3"/>
  <c r="Q101" i="3"/>
  <c r="AH17" i="3" s="1"/>
  <c r="L101" i="3"/>
  <c r="AI10" i="3" s="1"/>
  <c r="G101" i="3"/>
  <c r="AI9" i="3" s="1"/>
  <c r="Q99" i="3"/>
  <c r="L99" i="3"/>
  <c r="G99" i="3"/>
  <c r="Q98" i="3"/>
  <c r="L98" i="3"/>
  <c r="G98" i="3"/>
  <c r="Q97" i="3"/>
  <c r="AH19" i="3" s="1"/>
  <c r="L97" i="3"/>
  <c r="G97" i="3"/>
  <c r="Q93" i="3"/>
  <c r="L93" i="3"/>
  <c r="G93" i="3"/>
  <c r="Q92" i="3"/>
  <c r="L92" i="3"/>
  <c r="G92" i="3"/>
  <c r="Q91" i="3"/>
  <c r="L91" i="3"/>
  <c r="G91" i="3"/>
  <c r="AH12" i="3" s="1"/>
  <c r="Q90" i="3"/>
  <c r="L90" i="3"/>
  <c r="G90" i="3"/>
  <c r="Q89" i="3"/>
  <c r="L89" i="3"/>
  <c r="G89" i="3"/>
  <c r="Q88" i="3"/>
  <c r="AH11" i="3" s="1"/>
  <c r="L88" i="3"/>
  <c r="AH10" i="3" s="1"/>
  <c r="G88" i="3"/>
  <c r="Q86" i="3"/>
  <c r="L86" i="3"/>
  <c r="G86" i="3"/>
  <c r="Q85" i="3"/>
  <c r="L85" i="3"/>
  <c r="G85" i="3"/>
  <c r="Q84" i="3"/>
  <c r="L84" i="3"/>
  <c r="G84" i="3"/>
  <c r="Q80" i="3"/>
  <c r="L80" i="3"/>
  <c r="G80" i="3"/>
  <c r="Q79" i="3"/>
  <c r="L79" i="3"/>
  <c r="G79" i="3"/>
  <c r="Q78" i="3"/>
  <c r="L78" i="3"/>
  <c r="G78" i="3"/>
  <c r="AG12" i="3" s="1"/>
  <c r="Q77" i="3"/>
  <c r="L77" i="3"/>
  <c r="G77" i="3"/>
  <c r="Q76" i="3"/>
  <c r="L76" i="3"/>
  <c r="G76" i="3"/>
  <c r="Q75" i="3"/>
  <c r="AF17" i="3" s="1"/>
  <c r="L75" i="3"/>
  <c r="AG10" i="3" s="1"/>
  <c r="G75" i="3"/>
  <c r="AG9" i="3" s="1"/>
  <c r="Q73" i="3"/>
  <c r="L73" i="3"/>
  <c r="G73" i="3"/>
  <c r="Q72" i="3"/>
  <c r="L72" i="3"/>
  <c r="G72" i="3"/>
  <c r="Q71" i="3"/>
  <c r="L71" i="3"/>
  <c r="G71" i="3"/>
  <c r="AE15" i="3" s="1"/>
  <c r="Q67" i="3"/>
  <c r="L67" i="3"/>
  <c r="G67" i="3"/>
  <c r="Q66" i="3"/>
  <c r="L66" i="3"/>
  <c r="G66" i="3"/>
  <c r="Q65" i="3"/>
  <c r="AE14" i="3" s="1"/>
  <c r="L65" i="3"/>
  <c r="G65" i="3"/>
  <c r="AE12" i="3" s="1"/>
  <c r="Q64" i="3"/>
  <c r="L64" i="3"/>
  <c r="G64" i="3"/>
  <c r="Q63" i="3"/>
  <c r="L63" i="3"/>
  <c r="G63" i="3"/>
  <c r="Q62" i="3"/>
  <c r="AE11" i="3" s="1"/>
  <c r="L62" i="3"/>
  <c r="G62" i="3"/>
  <c r="Q60" i="3"/>
  <c r="L60" i="3"/>
  <c r="G60" i="3"/>
  <c r="Q58" i="3"/>
  <c r="L58" i="3"/>
  <c r="G58" i="3"/>
  <c r="Q57" i="3"/>
  <c r="L57" i="3"/>
  <c r="G57" i="3"/>
  <c r="Q56" i="3"/>
  <c r="L56" i="3"/>
  <c r="G56" i="3"/>
  <c r="Q55" i="3"/>
  <c r="AW4" i="3" s="1"/>
  <c r="L55" i="3"/>
  <c r="G55" i="3"/>
  <c r="AW2" i="3" s="1"/>
  <c r="Q54" i="3"/>
  <c r="L54" i="3"/>
  <c r="G54" i="3"/>
  <c r="Q53" i="3"/>
  <c r="L53" i="3"/>
  <c r="G53" i="3"/>
  <c r="Q52" i="3"/>
  <c r="L52" i="3"/>
  <c r="G52" i="3"/>
  <c r="Q51" i="3"/>
  <c r="L51" i="3"/>
  <c r="G51" i="3"/>
  <c r="Q50" i="3"/>
  <c r="L50" i="3"/>
  <c r="G50" i="3"/>
  <c r="Q49" i="3"/>
  <c r="L49" i="3"/>
  <c r="G49" i="3"/>
  <c r="Q48" i="3"/>
  <c r="AV4" i="3" s="1"/>
  <c r="L48" i="3"/>
  <c r="G48" i="3"/>
  <c r="AV2" i="3" s="1"/>
  <c r="Q47" i="3"/>
  <c r="AU4" i="3" s="1"/>
  <c r="L47" i="3"/>
  <c r="G47" i="3"/>
  <c r="AU2" i="3" s="1"/>
  <c r="Q45" i="3"/>
  <c r="L45" i="3"/>
  <c r="G45" i="3"/>
  <c r="Q44" i="3"/>
  <c r="L44" i="3"/>
  <c r="G44" i="3"/>
  <c r="Q43" i="3"/>
  <c r="L43" i="3"/>
  <c r="G43" i="3"/>
  <c r="Q42" i="3"/>
  <c r="L42" i="3"/>
  <c r="G42" i="3"/>
  <c r="Q41" i="3"/>
  <c r="L41" i="3"/>
  <c r="G41" i="3"/>
  <c r="Q40" i="3"/>
  <c r="L40" i="3"/>
  <c r="G40" i="3"/>
  <c r="Q39" i="3"/>
  <c r="L39" i="3"/>
  <c r="G39" i="3"/>
  <c r="Q38" i="3"/>
  <c r="L38" i="3"/>
  <c r="G38" i="3"/>
  <c r="Q36" i="3"/>
  <c r="L36" i="3"/>
  <c r="G36" i="3"/>
  <c r="Q35" i="3"/>
  <c r="L35" i="3"/>
  <c r="G35" i="3"/>
  <c r="Q34" i="3"/>
  <c r="BF4" i="3" s="1"/>
  <c r="L34" i="3"/>
  <c r="G34" i="3"/>
  <c r="Q33" i="3"/>
  <c r="L33" i="3"/>
  <c r="G33" i="3"/>
  <c r="Q32" i="3"/>
  <c r="L32" i="3"/>
  <c r="G32" i="3"/>
  <c r="Q31" i="3"/>
  <c r="L31" i="3"/>
  <c r="G31" i="3"/>
  <c r="Q30" i="3"/>
  <c r="L30" i="3"/>
  <c r="BD3" i="3" s="1"/>
  <c r="G30" i="3"/>
  <c r="Q29" i="3"/>
  <c r="L29" i="3"/>
  <c r="BC3" i="3" s="1"/>
  <c r="G29" i="3"/>
  <c r="BC2" i="3" s="1"/>
  <c r="AE28" i="3"/>
  <c r="AE27" i="3"/>
  <c r="Q27" i="3"/>
  <c r="L27" i="3"/>
  <c r="BB3" i="3" s="1"/>
  <c r="G27" i="3"/>
  <c r="BB2" i="3" s="1"/>
  <c r="AE26" i="3"/>
  <c r="Q26" i="3"/>
  <c r="BA4" i="3" s="1"/>
  <c r="L26" i="3"/>
  <c r="G26" i="3"/>
  <c r="AE25" i="3"/>
  <c r="Q25" i="3"/>
  <c r="L25" i="3"/>
  <c r="G25" i="3"/>
  <c r="AZ2" i="3" s="1"/>
  <c r="AE24" i="3"/>
  <c r="Q24" i="3"/>
  <c r="L24" i="3"/>
  <c r="G24" i="3"/>
  <c r="AY2" i="3" s="1"/>
  <c r="AE23" i="3"/>
  <c r="Q23" i="3"/>
  <c r="L23" i="3"/>
  <c r="G23" i="3"/>
  <c r="AE22" i="3"/>
  <c r="AE21" i="3"/>
  <c r="Q21" i="3"/>
  <c r="L21" i="3"/>
  <c r="G21" i="3"/>
  <c r="AE20" i="3"/>
  <c r="Q20" i="3"/>
  <c r="AS4" i="3" s="1"/>
  <c r="L20" i="3"/>
  <c r="AS3" i="3" s="1"/>
  <c r="G20" i="3"/>
  <c r="AS2" i="3" s="1"/>
  <c r="AM19" i="3"/>
  <c r="AL19" i="3"/>
  <c r="AG19" i="3"/>
  <c r="AF19" i="3"/>
  <c r="AE19" i="3"/>
  <c r="AL18" i="3"/>
  <c r="AH18" i="3"/>
  <c r="AG18" i="3"/>
  <c r="AF18" i="3"/>
  <c r="AE18" i="3"/>
  <c r="Q18" i="3"/>
  <c r="AR4" i="3" s="1"/>
  <c r="L18" i="3"/>
  <c r="G18" i="3"/>
  <c r="AR2" i="3" s="1"/>
  <c r="AM17" i="3"/>
  <c r="AL17" i="3"/>
  <c r="AK17" i="3"/>
  <c r="AJ17" i="3"/>
  <c r="AE17" i="3"/>
  <c r="Q17" i="3"/>
  <c r="L17" i="3"/>
  <c r="G17" i="3"/>
  <c r="AL16" i="3"/>
  <c r="AH16" i="3"/>
  <c r="AG16" i="3"/>
  <c r="AF16" i="3"/>
  <c r="AE16" i="3"/>
  <c r="AM15" i="3"/>
  <c r="AL15" i="3"/>
  <c r="AK15" i="3"/>
  <c r="AJ15" i="3"/>
  <c r="AH15" i="3"/>
  <c r="AG15" i="3"/>
  <c r="AF15" i="3"/>
  <c r="Q15" i="3"/>
  <c r="L15" i="3"/>
  <c r="AL3" i="3" s="1"/>
  <c r="G15" i="3"/>
  <c r="AL14" i="3"/>
  <c r="AK14" i="3"/>
  <c r="AI14" i="3"/>
  <c r="AH14" i="3"/>
  <c r="AG14" i="3"/>
  <c r="AF14" i="3"/>
  <c r="AM13" i="3"/>
  <c r="AL13" i="3"/>
  <c r="AK13" i="3"/>
  <c r="AJ13" i="3"/>
  <c r="AI13" i="3"/>
  <c r="AH13" i="3"/>
  <c r="AG13" i="3"/>
  <c r="AF13" i="3"/>
  <c r="AE13" i="3"/>
  <c r="Q13" i="3"/>
  <c r="AK4" i="3" s="1"/>
  <c r="L13" i="3"/>
  <c r="G13" i="3"/>
  <c r="AM12" i="3"/>
  <c r="AL12" i="3"/>
  <c r="AK12" i="3"/>
  <c r="AJ12" i="3"/>
  <c r="AF12" i="3"/>
  <c r="Q12" i="3"/>
  <c r="L12" i="3"/>
  <c r="AJ3" i="3" s="1"/>
  <c r="G12" i="3"/>
  <c r="AM11" i="3"/>
  <c r="AL11" i="3"/>
  <c r="AK11" i="3"/>
  <c r="AJ11" i="3"/>
  <c r="AI11" i="3"/>
  <c r="AG11" i="3"/>
  <c r="AF11" i="3"/>
  <c r="Q11" i="3"/>
  <c r="AI4" i="3" s="1"/>
  <c r="L11" i="3"/>
  <c r="G11" i="3"/>
  <c r="AL10" i="3"/>
  <c r="AJ10" i="3"/>
  <c r="AF10" i="3"/>
  <c r="AE10" i="3"/>
  <c r="AM9" i="3"/>
  <c r="AL9" i="3"/>
  <c r="AK9" i="3"/>
  <c r="AJ9" i="3"/>
  <c r="AH9" i="3"/>
  <c r="AF9" i="3"/>
  <c r="AE9" i="3"/>
  <c r="Q9" i="3"/>
  <c r="L9" i="3"/>
  <c r="G9" i="3"/>
  <c r="Q8" i="3"/>
  <c r="AH4" i="3" s="1"/>
  <c r="L8" i="3"/>
  <c r="G8" i="3"/>
  <c r="Q6" i="3"/>
  <c r="L6" i="3"/>
  <c r="G6" i="3"/>
  <c r="Q5" i="3"/>
  <c r="L5" i="3"/>
  <c r="G5" i="3"/>
  <c r="BM4" i="3"/>
  <c r="BL4" i="3"/>
  <c r="BK4" i="3"/>
  <c r="BJ4" i="3"/>
  <c r="BI4" i="3"/>
  <c r="BH4" i="3"/>
  <c r="BG4" i="3"/>
  <c r="BE4" i="3"/>
  <c r="BD4" i="3"/>
  <c r="BC4" i="3"/>
  <c r="BB4" i="3"/>
  <c r="AZ4" i="3"/>
  <c r="AY4" i="3"/>
  <c r="AX4" i="3"/>
  <c r="AT4" i="3"/>
  <c r="AQ4" i="3"/>
  <c r="AO4" i="3"/>
  <c r="AN4" i="3"/>
  <c r="AM4" i="3"/>
  <c r="AL4" i="3"/>
  <c r="AJ4" i="3"/>
  <c r="AG4" i="3"/>
  <c r="AF4" i="3"/>
  <c r="AD4" i="3"/>
  <c r="Q4" i="3"/>
  <c r="AE4" i="3" s="1"/>
  <c r="L4" i="3"/>
  <c r="AE3" i="3" s="1"/>
  <c r="G4" i="3"/>
  <c r="AE2" i="3" s="1"/>
  <c r="BM3" i="3"/>
  <c r="BL3" i="3"/>
  <c r="BK3" i="3"/>
  <c r="BJ3" i="3"/>
  <c r="BI3" i="3"/>
  <c r="BH3" i="3"/>
  <c r="BG3" i="3"/>
  <c r="BF3" i="3"/>
  <c r="BE3" i="3"/>
  <c r="BA3" i="3"/>
  <c r="AZ3" i="3"/>
  <c r="AY3" i="3"/>
  <c r="AX3" i="3"/>
  <c r="AW3" i="3"/>
  <c r="AV3" i="3"/>
  <c r="AU3" i="3"/>
  <c r="AT3" i="3"/>
  <c r="AR3" i="3"/>
  <c r="AQ3" i="3"/>
  <c r="AP3" i="3"/>
  <c r="AO3" i="3"/>
  <c r="AN3" i="3"/>
  <c r="AM3" i="3"/>
  <c r="AK3" i="3"/>
  <c r="AI3" i="3"/>
  <c r="AH3" i="3"/>
  <c r="AG3" i="3"/>
  <c r="AF3" i="3"/>
  <c r="Q3" i="3"/>
  <c r="L3" i="3"/>
  <c r="AD3" i="3" s="1"/>
  <c r="G3" i="3"/>
  <c r="AD2" i="3" s="1"/>
  <c r="BM2" i="3"/>
  <c r="BL2" i="3"/>
  <c r="BK2" i="3"/>
  <c r="BJ2" i="3"/>
  <c r="BI2" i="3"/>
  <c r="BH2" i="3"/>
  <c r="BG2" i="3"/>
  <c r="BF2" i="3"/>
  <c r="BE2" i="3"/>
  <c r="BD2" i="3"/>
  <c r="BA2" i="3"/>
  <c r="AX2" i="3"/>
  <c r="AT2" i="3"/>
  <c r="AQ2" i="3"/>
  <c r="AP2" i="3"/>
  <c r="AO2" i="3"/>
  <c r="AN2" i="3"/>
  <c r="AM2" i="3"/>
  <c r="AL2" i="3"/>
  <c r="AK2" i="3"/>
  <c r="AJ2" i="3"/>
  <c r="AI2" i="3"/>
  <c r="AH2" i="3"/>
  <c r="AG2" i="3"/>
  <c r="AF2" i="3"/>
  <c r="D13" i="5"/>
  <c r="Z4" i="5" s="1"/>
  <c r="D12" i="5"/>
  <c r="D11" i="5"/>
  <c r="D10" i="5"/>
  <c r="D6" i="5"/>
  <c r="D5" i="5"/>
  <c r="Y4" i="5"/>
  <c r="X4" i="5"/>
  <c r="W4" i="5"/>
  <c r="D4" i="5"/>
  <c r="Z3" i="5"/>
  <c r="Y3" i="5"/>
  <c r="X3" i="5"/>
  <c r="D3" i="5"/>
  <c r="W3" i="5" s="1"/>
  <c r="AV25" i="4"/>
  <c r="AU25" i="4"/>
  <c r="AT25" i="4"/>
  <c r="AS25" i="4"/>
  <c r="AV24" i="4"/>
  <c r="AU24" i="4"/>
  <c r="AT24" i="4"/>
  <c r="AS24" i="4"/>
  <c r="AV23" i="4"/>
  <c r="AU23" i="4"/>
  <c r="AT23" i="4"/>
  <c r="AS23" i="4"/>
  <c r="AV22" i="4"/>
  <c r="AU22" i="4"/>
  <c r="AT22" i="4"/>
  <c r="AS22" i="4"/>
  <c r="AV21" i="4"/>
  <c r="AU21" i="4"/>
  <c r="AT21" i="4"/>
  <c r="AS21" i="4"/>
  <c r="AV20" i="4"/>
  <c r="AU20" i="4"/>
  <c r="AT20" i="4"/>
  <c r="AS20" i="4"/>
  <c r="AV19" i="4"/>
  <c r="AU19" i="4"/>
  <c r="AT19" i="4"/>
  <c r="AS19" i="4"/>
  <c r="AV18" i="4"/>
  <c r="AU18" i="4"/>
  <c r="AT18" i="4"/>
  <c r="AS18" i="4"/>
  <c r="AV17" i="4"/>
  <c r="AU17" i="4"/>
  <c r="AT17" i="4"/>
  <c r="AS17" i="4"/>
  <c r="AV16" i="4"/>
  <c r="AU16" i="4"/>
  <c r="AT16" i="4"/>
  <c r="AS16" i="4"/>
  <c r="AV15" i="4"/>
  <c r="AU15" i="4"/>
  <c r="AT15" i="4"/>
  <c r="AS15" i="4"/>
  <c r="AV14" i="4"/>
  <c r="AU14" i="4"/>
  <c r="AT14" i="4"/>
  <c r="AS14" i="4"/>
  <c r="AV13" i="4"/>
  <c r="AU13" i="4"/>
  <c r="AT13" i="4"/>
  <c r="AS13" i="4"/>
  <c r="AV12" i="4"/>
  <c r="AU12" i="4"/>
  <c r="AT12" i="4"/>
  <c r="AS12" i="4"/>
  <c r="AV11" i="4"/>
  <c r="AU11" i="4"/>
  <c r="AT11" i="4"/>
  <c r="AS11" i="4"/>
  <c r="AV10" i="4"/>
  <c r="AU10" i="4"/>
  <c r="AT10" i="4"/>
  <c r="AS10" i="4"/>
  <c r="AV9" i="4"/>
  <c r="AU9" i="4"/>
  <c r="AT9" i="4"/>
  <c r="AS9" i="4"/>
  <c r="AV8" i="4"/>
  <c r="AU8" i="4"/>
  <c r="AT8" i="4"/>
  <c r="AS8" i="4"/>
  <c r="AV7" i="4"/>
  <c r="AU7" i="4"/>
  <c r="AT7" i="4"/>
  <c r="AS7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AV6" i="4"/>
  <c r="AU6" i="4"/>
  <c r="AT6" i="4"/>
  <c r="AS6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AG17" i="3" l="1"/>
  <c r="AP2" i="10"/>
  <c r="AP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SKU5</author>
  </authors>
  <commentList>
    <comment ref="A7" authorId="0" shapeId="0" xr:uid="{00000000-0006-0000-0000-000001000000}">
      <text>
        <r>
          <rPr>
            <sz val="11"/>
            <color rgb="FF000000"/>
            <rFont val="Arial"/>
            <family val="2"/>
          </rPr>
          <t>17 (DT) or 14 (NB)
	-Sam Kuo(</t>
        </r>
        <r>
          <rPr>
            <sz val="11"/>
            <color rgb="FF000000"/>
            <rFont val="細明體"/>
            <family val="3"/>
            <charset val="136"/>
          </rPr>
          <t>郭啟昇</t>
        </r>
        <r>
          <rPr>
            <sz val="11"/>
            <color rgb="FF000000"/>
            <rFont val="Arial"/>
            <family val="2"/>
          </rPr>
          <t>)</t>
        </r>
      </text>
    </comment>
    <comment ref="A8" authorId="0" shapeId="0" xr:uid="{00000000-0006-0000-0000-000002000000}">
      <text>
        <r>
          <rPr>
            <sz val="11"/>
            <color rgb="FF000000"/>
            <rFont val="Arial"/>
            <family val="2"/>
          </rPr>
          <t>1: Not Asus ; 0: Asus
	-Sam Kuo(郭啟昇)</t>
        </r>
      </text>
    </comment>
    <comment ref="A9" authorId="0" shapeId="0" xr:uid="{00000000-0006-0000-0000-000003000000}">
      <text>
        <r>
          <rPr>
            <sz val="11"/>
            <color rgb="FF000000"/>
            <rFont val="Arial"/>
            <family val="2"/>
          </rPr>
          <t>NB: Consumer
NR: Gaming</t>
        </r>
      </text>
    </comment>
    <comment ref="B15" authorId="1" shapeId="0" xr:uid="{6B9EA69A-A899-4F37-867D-7BEA1B12F7D6}">
      <text>
        <r>
          <rPr>
            <sz val="9"/>
            <color rgb="FF000000"/>
            <rFont val="Tahoma"/>
            <family val="2"/>
          </rPr>
          <t xml:space="preserve">[RAM1]
Name: Micron Technology MT62F1G32D2DS-023 WT
Size: 4GB
Type: LPDDR5
Speed / Configured Clock Speed: 8532MHz / 8000MHz
[RAM2]
Name: Micron Technology MT62F1G32D2DS-023 WT
Size: 4GB
Type: LPDDR5
Speed / Configured Clock Speed: 8532MHz / 8000MHz
[RAM3]
Name: Micron Technology MT62F1G32D2DS-023 WT
Size: 4GB
Type: LPDDR5
Speed / Configured Clock Speed: 8532MHz / 8000MHz
[RAM4]
Name: Micron Technology MT62F1G32D2DS-023 WT
Size: 4GB
Type: LPDDR5
Speed / Configured Clock Speed: 8532MHz / 8000MHz
[RAM5]
Name: Micron Technology MT62F1G32D2DS-023 WT
Size: 4GB
Type: LPDDR5
Speed / Configured Clock Speed: 8532MHz / 8000MHz
[RAM6]
Name: Micron Technology MT62F1G32D2DS-023 WT
Size: 4GB
Type: LPDDR5
Speed / Configured Clock Speed: 8532MHz / 8000MHz
[RAM7]
Name: Micron Technology MT62F1G32D2DS-023 WT
Size: 4GB
Type: LPDDR5
Speed / Configured Clock Speed: 8532MHz / 8000MHz
[RAM8]
Name: Micron Technology MT62F1G32D2DS-023 WT
Size: 4GB
Type: LPDDR5
Speed / Configured Clock Speed: 8532MHz / 8000MHz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Jolin Ke(柯佳伶)</author>
    <author>Vivi Chang(張元馨)</author>
    <author>5-4</author>
  </authors>
  <commentList>
    <comment ref="B4" authorId="0" shapeId="0" xr:uid="{00000000-0006-0000-0500-000001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9" authorId="0" shapeId="0" xr:uid="{00000000-0006-0000-0500-000002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2" authorId="0" shapeId="0" xr:uid="{00000000-0006-0000-0500-000003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7" authorId="0" shapeId="0" xr:uid="{00000000-0006-0000-0500-000004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8" authorId="0" shapeId="0" xr:uid="{00000000-0006-0000-0500-000005000000}">
      <text>
        <r>
          <rPr>
            <b/>
            <sz val="9"/>
            <color rgb="FF000000"/>
            <rFont val="Tahoma"/>
            <family val="2"/>
          </rPr>
          <t>SubMain</t>
        </r>
      </text>
    </comment>
    <comment ref="B20" authorId="0" shapeId="0" xr:uid="{00000000-0006-0000-0500-000006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21" authorId="0" shapeId="0" xr:uid="{00000000-0006-0000-0500-000007000000}">
      <text>
        <r>
          <rPr>
            <b/>
            <sz val="9"/>
            <color rgb="FF000000"/>
            <rFont val="Tahoma"/>
            <family val="2"/>
          </rPr>
          <t>SubMain</t>
        </r>
      </text>
    </comment>
    <comment ref="B24" authorId="1" shapeId="0" xr:uid="{00000000-0006-0000-0500-000008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25" authorId="1" shapeId="0" xr:uid="{00000000-0006-0000-0500-000009000000}">
      <text>
        <r>
          <rPr>
            <b/>
            <sz val="9"/>
            <color rgb="FF000000"/>
            <rFont val="Tahoma"/>
            <family val="2"/>
          </rPr>
          <t>SubMain</t>
        </r>
      </text>
    </comment>
    <comment ref="B27" authorId="0" shapeId="0" xr:uid="{00000000-0006-0000-0500-00000A000000}">
      <text>
        <r>
          <rPr>
            <b/>
            <sz val="9"/>
            <color rgb="FF000000"/>
            <rFont val="Tahoma"/>
            <family val="2"/>
          </rPr>
          <t>MinBest</t>
        </r>
      </text>
    </comment>
    <comment ref="B29" authorId="0" shapeId="0" xr:uid="{00000000-0006-0000-0500-00000B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30" authorId="0" shapeId="0" xr:uid="{00000000-0006-0000-0500-00000C000000}">
      <text>
        <r>
          <rPr>
            <b/>
            <sz val="9"/>
            <color rgb="FF000000"/>
            <rFont val="Tahoma"/>
            <family val="2"/>
          </rPr>
          <t>Main</t>
        </r>
      </text>
    </comment>
    <comment ref="B33" authorId="1" shapeId="0" xr:uid="{00000000-0006-0000-0500-00000D000000}">
      <text>
        <r>
          <rPr>
            <b/>
            <sz val="9"/>
            <color rgb="FF000000"/>
            <rFont val="Tahoma"/>
            <family val="2"/>
          </rPr>
          <t>SubMain</t>
        </r>
      </text>
    </comment>
    <comment ref="B34" authorId="1" shapeId="0" xr:uid="{00000000-0006-0000-0500-00000E000000}">
      <text>
        <r>
          <rPr>
            <b/>
            <sz val="9"/>
            <color rgb="FF000000"/>
            <rFont val="Tahoma"/>
            <family val="2"/>
          </rPr>
          <t>SubExtMain</t>
        </r>
      </text>
    </comment>
    <comment ref="B38" authorId="0" shapeId="0" xr:uid="{00000000-0006-0000-0500-00000F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D38" authorId="2" shapeId="0" xr:uid="{F8247C0C-B1BB-4407-AB9D-A33329227F72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E38" authorId="2" shapeId="0" xr:uid="{3A06C0CD-00AF-4BF1-8818-BD60F8A2D518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F38" authorId="2" shapeId="0" xr:uid="{680AE2AC-4BC9-4199-BA7A-A33EBDB892FA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I38" authorId="2" shapeId="0" xr:uid="{77C1C907-4E9B-4CD9-9F34-D597C392D8B8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J38" authorId="2" shapeId="0" xr:uid="{81FE2F26-77A7-452F-8B37-7763CC4C6DB7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K38" authorId="2" shapeId="0" xr:uid="{D1A056E9-1F48-4BEC-A66F-7F2654B0436A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N38" authorId="2" shapeId="0" xr:uid="{EE8ED255-3BC2-49D0-BA35-1F8C84CA73B2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O38" authorId="2" shapeId="0" xr:uid="{78CDB39E-8ECA-40AF-8F41-E5F387511D3B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P38" authorId="2" shapeId="0" xr:uid="{6895A7FF-A853-4D01-92B2-83E86EF5A22E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B39" authorId="0" shapeId="0" xr:uid="{00000000-0006-0000-0500-000010000000}">
      <text>
        <r>
          <rPr>
            <b/>
            <sz val="9"/>
            <color rgb="FF000000"/>
            <rFont val="Tahoma"/>
            <family val="2"/>
          </rPr>
          <t>Main</t>
        </r>
      </text>
    </comment>
    <comment ref="D39" authorId="2" shapeId="0" xr:uid="{A2464CFB-AB57-4EB9-A40F-A23B13D5A9C3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E39" authorId="2" shapeId="0" xr:uid="{1FF4AD3F-04EE-4989-A895-15CADDE84284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F39" authorId="2" shapeId="0" xr:uid="{C47D6926-A6CA-47D0-9660-7DE8223169FD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I39" authorId="2" shapeId="0" xr:uid="{F5D829BF-9524-4C23-825A-31612969A936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J39" authorId="2" shapeId="0" xr:uid="{BEF394EF-211D-4EF7-8DE2-63D32D2125F7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K39" authorId="2" shapeId="0" xr:uid="{A04213BC-B3BC-4F7B-9053-0C0F3B3A34E4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N39" authorId="2" shapeId="0" xr:uid="{2660B799-32DB-4F13-9EFD-04F0CC79B956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O39" authorId="2" shapeId="0" xr:uid="{D6836F33-7369-45BF-A656-C696338736FA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P39" authorId="2" shapeId="0" xr:uid="{A5713439-FAF3-47BD-91E2-8BC79AC58F33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D40" authorId="2" shapeId="0" xr:uid="{21A85E9B-4E02-4995-878F-A0E99FF839CD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E40" authorId="2" shapeId="0" xr:uid="{F7E2F9D3-DD5D-453F-B971-EECEC48ED4A1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F40" authorId="2" shapeId="0" xr:uid="{01E8F356-6F7F-4204-859D-80F43BC0F4E6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I40" authorId="2" shapeId="0" xr:uid="{8BF6880A-DA8E-4B11-84E6-893BD68EAD6B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J40" authorId="2" shapeId="0" xr:uid="{C16119B4-D6ED-49D0-BA08-F13C05B36E7B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K40" authorId="2" shapeId="0" xr:uid="{D5E4D62B-CFA2-41E0-92A6-2457A26D47D9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N40" authorId="2" shapeId="0" xr:uid="{49CDD2A8-A200-4641-9E39-E59DB2EB7659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O40" authorId="2" shapeId="0" xr:uid="{5236ABDA-F47D-46E6-A078-AD6E2EFF26C9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P40" authorId="2" shapeId="0" xr:uid="{7E470582-8592-45F2-A96C-260B23A63B42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D41" authorId="2" shapeId="0" xr:uid="{61B41D7D-F8EF-415D-B667-DCBC2A6A1EE3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E41" authorId="2" shapeId="0" xr:uid="{85C1B96A-2C67-4611-BBC8-A728BD7A7B01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F41" authorId="2" shapeId="0" xr:uid="{A9A33A59-17B6-45B0-8696-9E46175FD0D0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I41" authorId="2" shapeId="0" xr:uid="{5021D4DE-D1A9-4C6F-84CC-06459FD88623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J41" authorId="2" shapeId="0" xr:uid="{6A67812C-A196-4662-ACBC-07203344BF62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K41" authorId="2" shapeId="0" xr:uid="{9D1C9A0F-7ADA-42C2-A34A-D446819854AE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N41" authorId="2" shapeId="0" xr:uid="{139C219C-D5A0-46EB-9B71-92A7E004A394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O41" authorId="2" shapeId="0" xr:uid="{763E640F-3090-49A4-8EE8-8C4EABD01691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P41" authorId="2" shapeId="0" xr:uid="{9002EDAC-FFFD-4489-9365-63A188E0DF19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D42" authorId="2" shapeId="0" xr:uid="{610210AA-E411-4047-95EF-D1DFB37E9155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E42" authorId="2" shapeId="0" xr:uid="{D476F61E-088E-405E-84B8-94739F42F03D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F42" authorId="2" shapeId="0" xr:uid="{CA0F2167-8596-406D-B612-50F4AFDA4F7A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I42" authorId="2" shapeId="0" xr:uid="{EEE0319A-B00D-422A-9A27-A396D35BF161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J42" authorId="2" shapeId="0" xr:uid="{D90B13AC-B1F2-4CE1-9D67-1EA52CD901E5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K42" authorId="2" shapeId="0" xr:uid="{3E94FF7B-9CD6-4B0C-8551-97A27BDA5C70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N42" authorId="2" shapeId="0" xr:uid="{D8C974B8-3793-4DDA-AAD6-A66A32362811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O42" authorId="2" shapeId="0" xr:uid="{62F9B5CE-A9DD-4039-87CF-8CAF8446EA9E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P42" authorId="2" shapeId="0" xr:uid="{4FCE5775-F1DB-4971-A27F-D3F0BA97C1F7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D43" authorId="2" shapeId="0" xr:uid="{DA733046-8282-4C7B-BE4F-9410BA85C6B7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E43" authorId="2" shapeId="0" xr:uid="{3FFB29F6-78B4-454C-A128-6A04F093D36E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F43" authorId="2" shapeId="0" xr:uid="{31C6850D-F86F-42E4-97B0-FB27B8C2B4A1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I43" authorId="2" shapeId="0" xr:uid="{42D328DD-FA97-4888-A31D-F49D53D4B97B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J43" authorId="2" shapeId="0" xr:uid="{5DD0C095-953F-453E-83C0-DE20BC6D7140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K43" authorId="2" shapeId="0" xr:uid="{3D429291-1D20-4C29-837B-3726E8E0790E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N43" authorId="2" shapeId="0" xr:uid="{63D942F7-F56C-4910-8815-AB34081F8A4D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O43" authorId="2" shapeId="0" xr:uid="{8867B4B7-7028-4504-AF5F-01C24DF897B0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P43" authorId="2" shapeId="0" xr:uid="{F2AEFAFD-F60B-466C-B250-9AD3D916BCC8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D44" authorId="2" shapeId="0" xr:uid="{20E7E310-BDC7-4A2B-ABCF-C5D39E50EBF0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E44" authorId="2" shapeId="0" xr:uid="{4EFEBB51-C775-4028-A01D-4BD0B0E2E1C3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F44" authorId="2" shapeId="0" xr:uid="{57E429DD-FA34-4B9A-A3F4-F404FE6FC55C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I44" authorId="2" shapeId="0" xr:uid="{AFA8EF4D-EB31-4603-92B0-AE3FD70B0AD0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J44" authorId="2" shapeId="0" xr:uid="{DA1F2002-B9B2-4AA3-93A0-8CE76DA87D7C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K44" authorId="2" shapeId="0" xr:uid="{95B35BF1-3DE3-4E78-9D8A-A4C472E06102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N44" authorId="2" shapeId="0" xr:uid="{F17A474F-0BF1-4E3A-8406-02277C618B1D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O44" authorId="2" shapeId="0" xr:uid="{D677CC16-6999-415F-A92C-95458DFF4582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P44" authorId="2" shapeId="0" xr:uid="{CD527971-B0E3-4CEE-95CB-250937262423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D45" authorId="2" shapeId="0" xr:uid="{AE5449F7-F9FA-4248-908C-8C9E9CE945AD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E45" authorId="2" shapeId="0" xr:uid="{7AAE8E4F-5EC3-4F61-8670-D91ADD807D05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F45" authorId="2" shapeId="0" xr:uid="{A47E318A-B443-4A89-95F8-5A2B2B90271B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I45" authorId="2" shapeId="0" xr:uid="{3540F771-FEB1-4AD9-A2BB-1D22BA38246C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J45" authorId="2" shapeId="0" xr:uid="{FC9C317B-6FCB-423D-9915-60DF012935BF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K45" authorId="2" shapeId="0" xr:uid="{5296358C-B60B-4B93-9F96-C8E31ADE434B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N45" authorId="2" shapeId="0" xr:uid="{1FDEE16E-FF33-4205-A669-7D58D28BC424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O45" authorId="2" shapeId="0" xr:uid="{6CA70486-0431-4219-B0BC-D32033A88911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P45" authorId="2" shapeId="0" xr:uid="{7BFB98F3-AF90-45CA-9D82-A6F0F77F0F02}">
      <text>
        <r>
          <rPr>
            <sz val="11"/>
            <color rgb="FF000000"/>
            <rFont val="Tahoma"/>
            <family val="2"/>
          </rPr>
          <t>CrystalDiskMark Second : 偵測沒有“D”磁碟 ，因此不執行測試CrystalDiskMark Second</t>
        </r>
      </text>
    </comment>
    <comment ref="B47" authorId="0" shapeId="0" xr:uid="{00000000-0006-0000-0500-000011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60" authorId="0" shapeId="0" xr:uid="{00000000-0006-0000-0500-000012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62" authorId="0" shapeId="0" xr:uid="{00000000-0006-0000-0500-000013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65" authorId="0" shapeId="0" xr:uid="{00000000-0006-0000-0500-000014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68" authorId="0" shapeId="0" xr:uid="{00000000-0006-0000-0500-000015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71" authorId="0" shapeId="0" xr:uid="{00000000-0006-0000-0500-000016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75" authorId="0" shapeId="0" xr:uid="{00000000-0006-0000-0500-000017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78" authorId="0" shapeId="0" xr:uid="{00000000-0006-0000-0500-000018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81" authorId="0" shapeId="0" xr:uid="{00000000-0006-0000-0500-000019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84" authorId="0" shapeId="0" xr:uid="{00000000-0006-0000-0500-00001A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88" authorId="0" shapeId="0" xr:uid="{00000000-0006-0000-0500-00001B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91" authorId="0" shapeId="0" xr:uid="{00000000-0006-0000-0500-00001C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94" authorId="0" shapeId="0" xr:uid="{00000000-0006-0000-0500-00001D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97" authorId="0" shapeId="0" xr:uid="{00000000-0006-0000-0500-00001E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01" authorId="0" shapeId="0" xr:uid="{00000000-0006-0000-0500-00001F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04" authorId="0" shapeId="0" xr:uid="{00000000-0006-0000-0500-000020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07" authorId="0" shapeId="0" xr:uid="{00000000-0006-0000-0500-000021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10" authorId="0" shapeId="0" xr:uid="{00000000-0006-0000-0500-000022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14" authorId="0" shapeId="0" xr:uid="{00000000-0006-0000-0500-000023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17" authorId="0" shapeId="0" xr:uid="{00000000-0006-0000-0500-000024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20" authorId="0" shapeId="0" xr:uid="{00000000-0006-0000-0500-000025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23" authorId="0" shapeId="0" xr:uid="{00000000-0006-0000-0500-000026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27" authorId="0" shapeId="0" xr:uid="{00000000-0006-0000-0500-000027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28" authorId="0" shapeId="0" xr:uid="{00000000-0006-0000-0500-000028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29" authorId="0" shapeId="0" xr:uid="{00000000-0006-0000-0500-000029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30" authorId="0" shapeId="0" xr:uid="{00000000-0006-0000-0500-00002A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33" authorId="0" shapeId="0" xr:uid="{00000000-0006-0000-0500-00002B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35" authorId="0" shapeId="0" xr:uid="{00000000-0006-0000-0500-00002C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37" authorId="0" shapeId="0" xr:uid="{00000000-0006-0000-0500-00002D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39" authorId="0" shapeId="0" xr:uid="{00000000-0006-0000-0500-00002E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41" authorId="0" shapeId="0" xr:uid="{00000000-0006-0000-0500-00002F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43" authorId="0" shapeId="0" xr:uid="{00000000-0006-0000-0500-000030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45" authorId="0" shapeId="0" xr:uid="{00000000-0006-0000-0500-000031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47" authorId="0" shapeId="0" xr:uid="{00000000-0006-0000-0500-000032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50" authorId="0" shapeId="0" xr:uid="{00000000-0006-0000-0500-000033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53" authorId="0" shapeId="0" xr:uid="{00000000-0006-0000-0500-000034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56" authorId="0" shapeId="0" xr:uid="{00000000-0006-0000-0500-000035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59" authorId="0" shapeId="0" xr:uid="{00000000-0006-0000-0500-000036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63" authorId="0" shapeId="0" xr:uid="{00000000-0006-0000-0500-000037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66" authorId="0" shapeId="0" xr:uid="{00000000-0006-0000-0500-000038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69" authorId="0" shapeId="0" xr:uid="{00000000-0006-0000-0500-000039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72" authorId="0" shapeId="0" xr:uid="{00000000-0006-0000-0500-00003A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76" authorId="0" shapeId="0" xr:uid="{00000000-0006-0000-0500-00003B000000}">
      <text>
        <r>
          <rPr>
            <b/>
            <sz val="9"/>
            <rFont val="Tahoma"/>
            <family val="2"/>
          </rPr>
          <t>MainRun</t>
        </r>
      </text>
    </comment>
    <comment ref="B184" authorId="0" shapeId="0" xr:uid="{00000000-0006-0000-0500-00003C000000}">
      <text>
        <r>
          <rPr>
            <b/>
            <sz val="9"/>
            <rFont val="Tahoma"/>
            <family val="2"/>
          </rPr>
          <t>MainRun</t>
        </r>
      </text>
    </comment>
    <comment ref="B192" authorId="0" shapeId="0" xr:uid="{00000000-0006-0000-0500-00003D000000}">
      <text>
        <r>
          <rPr>
            <b/>
            <sz val="9"/>
            <rFont val="Tahoma"/>
            <family val="2"/>
          </rPr>
          <t>MainRun</t>
        </r>
      </text>
    </comment>
    <comment ref="B200" authorId="0" shapeId="0" xr:uid="{00000000-0006-0000-0500-00003E000000}">
      <text>
        <r>
          <rPr>
            <b/>
            <sz val="9"/>
            <rFont val="Tahoma"/>
            <family val="2"/>
          </rPr>
          <t>MainRun</t>
        </r>
      </text>
    </comment>
    <comment ref="B208" authorId="0" shapeId="0" xr:uid="{00000000-0006-0000-0500-00003F000000}">
      <text>
        <r>
          <rPr>
            <b/>
            <sz val="9"/>
            <rFont val="Tahoma"/>
            <family val="2"/>
          </rPr>
          <t>MainRun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Jolin Ke(柯佳伶)</author>
  </authors>
  <commentList>
    <comment ref="B4" authorId="0" shapeId="0" xr:uid="{00000000-0006-0000-0600-000001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8" authorId="0" shapeId="0" xr:uid="{00000000-0006-0000-0600-000002000000}">
      <text>
        <r>
          <rPr>
            <b/>
            <sz val="9"/>
            <rFont val="Tahoma"/>
            <family val="2"/>
          </rPr>
          <t>MainRun</t>
        </r>
      </text>
    </comment>
    <comment ref="B10" authorId="0" shapeId="0" xr:uid="{00000000-0006-0000-0600-000003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4" authorId="0" shapeId="0" xr:uid="{00000000-0006-0000-0600-000004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Jolin Ke(柯佳伶)</author>
  </authors>
  <commentList>
    <comment ref="B3" authorId="0" shapeId="0" xr:uid="{00000000-0006-0000-0700-000001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7" authorId="0" shapeId="0" xr:uid="{00000000-0006-0000-0700-000002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1" authorId="0" shapeId="0" xr:uid="{00000000-0006-0000-0700-000003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17" authorId="0" shapeId="0" xr:uid="{00000000-0006-0000-0700-000004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22" authorId="0" shapeId="0" xr:uid="{00000000-0006-0000-0700-000005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  <comment ref="B24" authorId="0" shapeId="0" xr:uid="{00000000-0006-0000-0700-000006000000}">
      <text>
        <r>
          <rPr>
            <b/>
            <sz val="9"/>
            <color rgb="FF000000"/>
            <rFont val="Tahoma"/>
            <family val="2"/>
          </rPr>
          <t>MainRun</t>
        </r>
      </text>
    </comment>
  </commentList>
</comments>
</file>

<file path=xl/sharedStrings.xml><?xml version="1.0" encoding="utf-8"?>
<sst xmlns="http://schemas.openxmlformats.org/spreadsheetml/2006/main" count="1193" uniqueCount="431">
  <si>
    <t>DUT Information</t>
  </si>
  <si>
    <t>Game Setting Resolution</t>
  </si>
  <si>
    <r>
      <rPr>
        <sz val="11"/>
        <color rgb="FF000000"/>
        <rFont val="Calibri"/>
        <family val="2"/>
        <scheme val="major"/>
      </rPr>
      <t>Project</t>
    </r>
  </si>
  <si>
    <t>Item</t>
  </si>
  <si>
    <t>Full HD</t>
  </si>
  <si>
    <t>2K</t>
  </si>
  <si>
    <t>3K</t>
  </si>
  <si>
    <t>4K</t>
  </si>
  <si>
    <t>SKU</t>
  </si>
  <si>
    <t>SKU4</t>
  </si>
  <si>
    <r>
      <rPr>
        <sz val="11"/>
        <color theme="1"/>
        <rFont val="Calibri"/>
        <family val="2"/>
      </rPr>
      <t>Rainbow Six Siege</t>
    </r>
  </si>
  <si>
    <r>
      <rPr>
        <sz val="11"/>
        <color rgb="FF000000"/>
        <rFont val="Calibri"/>
        <family val="2"/>
        <scheme val="major"/>
      </rPr>
      <t>Device#</t>
    </r>
  </si>
  <si>
    <r>
      <rPr>
        <sz val="11"/>
        <color theme="1"/>
        <rFont val="Calibri"/>
        <family val="2"/>
      </rPr>
      <t>Metro Exodus</t>
    </r>
  </si>
  <si>
    <r>
      <rPr>
        <sz val="11"/>
        <color rgb="FF000000"/>
        <rFont val="Calibri"/>
        <family val="2"/>
        <scheme val="major"/>
      </rPr>
      <t>SN</t>
    </r>
  </si>
  <si>
    <t>SSN12345678901234567</t>
  </si>
  <si>
    <r>
      <rPr>
        <sz val="11"/>
        <color theme="1"/>
        <rFont val="Calibri"/>
        <family val="2"/>
      </rPr>
      <t>Cyberpunk 2077</t>
    </r>
  </si>
  <si>
    <r>
      <rPr>
        <sz val="11"/>
        <color rgb="FF000000"/>
        <rFont val="Calibri"/>
        <family val="2"/>
        <scheme val="major"/>
      </rPr>
      <t>90#</t>
    </r>
  </si>
  <si>
    <r>
      <rPr>
        <sz val="11"/>
        <color theme="1"/>
        <rFont val="Calibri"/>
        <family val="2"/>
      </rPr>
      <t>SOTTR</t>
    </r>
  </si>
  <si>
    <t>Type</t>
  </si>
  <si>
    <t>Red Dead Redemption2</t>
  </si>
  <si>
    <t>Is Competitor</t>
  </si>
  <si>
    <r>
      <rPr>
        <sz val="11"/>
        <color theme="1"/>
        <rFont val="Calibri"/>
        <family val="2"/>
      </rPr>
      <t>Forza Horizon 5</t>
    </r>
  </si>
  <si>
    <t>Project Type</t>
  </si>
  <si>
    <t>NR</t>
  </si>
  <si>
    <t>CS2</t>
  </si>
  <si>
    <t>Create Date</t>
  </si>
  <si>
    <t>Monster Hunter Wilds</t>
  </si>
  <si>
    <t>BIOS</t>
  </si>
  <si>
    <t>DriverCD</t>
  </si>
  <si>
    <t>Windows Version</t>
  </si>
  <si>
    <t>Microsoft Windows 11 Pro 10.0.26200(26200.6584_25H2)</t>
  </si>
  <si>
    <t>CPU</t>
  </si>
  <si>
    <t>RAM</t>
  </si>
  <si>
    <t>Total Ram Size</t>
  </si>
  <si>
    <r>
      <rPr>
        <sz val="11"/>
        <color rgb="FF000000"/>
        <rFont val="Calibri"/>
        <family val="2"/>
        <scheme val="major"/>
      </rPr>
      <t>Memory Channel</t>
    </r>
  </si>
  <si>
    <t>Quad_LPDDR5</t>
  </si>
  <si>
    <t>HDD</t>
  </si>
  <si>
    <t>SSD</t>
  </si>
  <si>
    <t>KBG60ZNV1T02 KIOXIA(1.024TB,NVMe);</t>
  </si>
  <si>
    <t>Integrated GPU</t>
  </si>
  <si>
    <t>VGA</t>
  </si>
  <si>
    <t>VGA Ram Size</t>
  </si>
  <si>
    <t>VGA Driver</t>
  </si>
  <si>
    <t>VBIOS</t>
  </si>
  <si>
    <t>Panel model name</t>
  </si>
  <si>
    <t>Panel Resolution</t>
  </si>
  <si>
    <t>2560x1600</t>
  </si>
  <si>
    <t>Refresh Rate</t>
  </si>
  <si>
    <t>Test Comment</t>
  </si>
  <si>
    <t>Display Size (Inch)</t>
  </si>
  <si>
    <t>CPU power(W)</t>
  </si>
  <si>
    <t>GPU power(W)</t>
  </si>
  <si>
    <t>HDI</t>
  </si>
  <si>
    <t>X64W11_25H2_HDI_NA_01.01</t>
  </si>
  <si>
    <t>Battery Design Capacity (Wh)</t>
  </si>
  <si>
    <r>
      <rPr>
        <sz val="11"/>
        <color theme="1"/>
        <rFont val="Calibri"/>
        <family val="2"/>
      </rPr>
      <t>Benchmark Tools Version (Please use the latest version)</t>
    </r>
  </si>
  <si>
    <t>Version</t>
  </si>
  <si>
    <r>
      <rPr>
        <sz val="11"/>
        <color theme="1"/>
        <rFont val="Calibri"/>
        <family val="2"/>
      </rPr>
      <t>3DMark for Windows</t>
    </r>
  </si>
  <si>
    <t>v2.32.8454</t>
  </si>
  <si>
    <r>
      <rPr>
        <sz val="11"/>
        <color theme="1"/>
        <rFont val="Calibri"/>
        <family val="2"/>
      </rPr>
      <t>Heaven Benchmark</t>
    </r>
  </si>
  <si>
    <t>v4.0</t>
  </si>
  <si>
    <r>
      <rPr>
        <sz val="11"/>
        <color theme="1"/>
        <rFont val="Calibri"/>
        <family val="2"/>
      </rPr>
      <t>Cinebench R20</t>
    </r>
  </si>
  <si>
    <t>v20.0</t>
  </si>
  <si>
    <r>
      <rPr>
        <sz val="11"/>
        <color theme="1"/>
        <rFont val="Calibri"/>
        <family val="2"/>
      </rPr>
      <t>Cinebench R23</t>
    </r>
  </si>
  <si>
    <t>v23.2</t>
  </si>
  <si>
    <t>Cinebench 2024</t>
  </si>
  <si>
    <t>v2024.1.0</t>
  </si>
  <si>
    <r>
      <rPr>
        <sz val="11"/>
        <color theme="1"/>
        <rFont val="Calibri"/>
        <family val="2"/>
      </rPr>
      <t>AIDA64</t>
    </r>
  </si>
  <si>
    <t>v8.00.8000</t>
  </si>
  <si>
    <r>
      <rPr>
        <sz val="11"/>
        <color theme="1"/>
        <rFont val="Calibri"/>
        <family val="2"/>
      </rPr>
      <t xml:space="preserve">CrystalDiskMark </t>
    </r>
  </si>
  <si>
    <t>v8.0.4</t>
  </si>
  <si>
    <r>
      <rPr>
        <sz val="11"/>
        <color theme="1"/>
        <rFont val="Calibri"/>
        <family val="2"/>
      </rPr>
      <t>PCMark10</t>
    </r>
  </si>
  <si>
    <t>v2.3.2909</t>
  </si>
  <si>
    <r>
      <rPr>
        <sz val="11"/>
        <color theme="1"/>
        <rFont val="Calibri"/>
        <family val="2"/>
      </rPr>
      <t>Prime95</t>
    </r>
  </si>
  <si>
    <t>v30.19b20</t>
  </si>
  <si>
    <r>
      <rPr>
        <sz val="11"/>
        <color theme="1"/>
        <rFont val="Calibri"/>
        <family val="2"/>
      </rPr>
      <t>FurMark</t>
    </r>
  </si>
  <si>
    <t>v1.38.1.0</t>
  </si>
  <si>
    <t>CS:GO</t>
  </si>
  <si>
    <t>-</t>
  </si>
  <si>
    <t>SOTTR</t>
  </si>
  <si>
    <t>FarCry6</t>
  </si>
  <si>
    <t>Assassins Creed Valhalla</t>
  </si>
  <si>
    <t>Rainbow Six Siege</t>
  </si>
  <si>
    <t>Cyberpunk 2077</t>
  </si>
  <si>
    <t>Forza Horizon 5</t>
  </si>
  <si>
    <r>
      <rPr>
        <sz val="11"/>
        <color theme="1"/>
        <rFont val="Calibri"/>
        <family val="2"/>
      </rPr>
      <t>Blender</t>
    </r>
  </si>
  <si>
    <t>v4.5.0</t>
  </si>
  <si>
    <r>
      <rPr>
        <sz val="11"/>
        <color theme="1"/>
        <rFont val="Calibri"/>
        <family val="2"/>
      </rPr>
      <t>HandBrake</t>
    </r>
  </si>
  <si>
    <t>v1.5.1</t>
  </si>
  <si>
    <t>V-Ray (CPU)</t>
  </si>
  <si>
    <t>v6.00.01</t>
  </si>
  <si>
    <t>V-Ray (GPU)</t>
  </si>
  <si>
    <t>UL Procyon AI (NPU)</t>
  </si>
  <si>
    <t>v2.10.2031</t>
  </si>
  <si>
    <t>UL Procyon AI (GPU)</t>
  </si>
  <si>
    <r>
      <rPr>
        <sz val="11"/>
        <color theme="1"/>
        <rFont val="Calibri"/>
        <family val="2"/>
      </rPr>
      <t>Battery life (at least pcm8, ideally NBC wifi, idle, videoloop)</t>
    </r>
  </si>
  <si>
    <r>
      <rPr>
        <sz val="11"/>
        <color rgb="FFFF0000"/>
        <rFont val="Calibri"/>
        <family val="2"/>
      </rPr>
      <t>log file needs to be sent to TPR Separately.</t>
    </r>
  </si>
  <si>
    <r>
      <rPr>
        <sz val="11"/>
        <color theme="1"/>
        <rFont val="Calibri"/>
        <family val="2"/>
      </rPr>
      <t>HW info Log file</t>
    </r>
  </si>
  <si>
    <r>
      <rPr>
        <sz val="11"/>
        <color rgb="FFFF0000"/>
        <rFont val="Calibri"/>
        <family val="2"/>
      </rPr>
      <t>Refer to TPR “Testing SOP”to record FPS &amp; frametimes &amp; Min/Max/AVG, to record via hotkey defined in the app, log file needs to be sent to TPR Separately.</t>
    </r>
  </si>
  <si>
    <r>
      <rPr>
        <sz val="11"/>
        <color theme="1"/>
        <rFont val="Calibri"/>
        <family val="2"/>
      </rPr>
      <t xml:space="preserve">FRAPS Log file </t>
    </r>
  </si>
  <si>
    <r>
      <rPr>
        <sz val="11"/>
        <color theme="1"/>
        <rFont val="Calibri"/>
        <family val="2"/>
      </rPr>
      <t>GPUMon</t>
    </r>
  </si>
  <si>
    <r>
      <rPr>
        <sz val="11"/>
        <color theme="1"/>
        <rFont val="Calibri"/>
        <family val="2"/>
      </rPr>
      <t>AMD SystemDeck</t>
    </r>
  </si>
  <si>
    <t>Test Program</t>
  </si>
  <si>
    <t>Fan mode</t>
  </si>
  <si>
    <t>Do not modify cells in this color</t>
  </si>
  <si>
    <t>Test Data Collection</t>
  </si>
  <si>
    <t>Performance</t>
  </si>
  <si>
    <t>Turbo</t>
  </si>
  <si>
    <t>Cinebench R20
Loop 30</t>
  </si>
  <si>
    <t>Loop CPU Avg Multicore Score (loop:30) (pts)</t>
  </si>
  <si>
    <t>Test</t>
  </si>
  <si>
    <t>Model</t>
  </si>
  <si>
    <t>Configuration</t>
  </si>
  <si>
    <t>Panel</t>
  </si>
  <si>
    <t>Processor</t>
  </si>
  <si>
    <t>GPU</t>
  </si>
  <si>
    <t>Operating Mode</t>
  </si>
  <si>
    <t>CB - Avg CPU Temp</t>
  </si>
  <si>
    <t>CB - Max CPU Temp</t>
  </si>
  <si>
    <t>CB - Avg CPU Clock</t>
  </si>
  <si>
    <t>CB - Max CPU Clock</t>
  </si>
  <si>
    <t>CB - Avg CPU Power</t>
  </si>
  <si>
    <t>CB - Max CPU Power</t>
  </si>
  <si>
    <t>Heaven - Avg GPU Temp</t>
  </si>
  <si>
    <t>Heaven - Max GPU Temp</t>
  </si>
  <si>
    <t>Heaven - Avg GPU Clock</t>
  </si>
  <si>
    <t>Heaven - Max GPU Clock</t>
  </si>
  <si>
    <t>Heaven - Avg GPU Power</t>
  </si>
  <si>
    <t>Heaven - Max GPU Power</t>
  </si>
  <si>
    <t>Prime 95 - Avg CPU Temp</t>
  </si>
  <si>
    <t>Prime 95 - Max CPU Temp</t>
  </si>
  <si>
    <t>Prime 95 - Avg CPU Clock</t>
  </si>
  <si>
    <t>Prime 95 - Max CPU Clock</t>
  </si>
  <si>
    <t>Prime 95 - Avg CPU Power</t>
  </si>
  <si>
    <t>Prime 95 - Max CPU Power</t>
  </si>
  <si>
    <t>Prime 95 + Furmark - Avg CPU Temp</t>
  </si>
  <si>
    <t>Prime 95 + Furmark - Max CPU Temp</t>
  </si>
  <si>
    <t>Prime 95 + Furmark - Avg CPU Clock</t>
  </si>
  <si>
    <t>Prime 95 + Furmark - Max CPU Clock</t>
  </si>
  <si>
    <t>Prime 95 + Furmark - Avg CPU Power</t>
  </si>
  <si>
    <t>Prime 95 + Furmark - Max CPU Power</t>
  </si>
  <si>
    <t>Prime 95 + Furmark - Avg GPU Temp</t>
  </si>
  <si>
    <t>Prime 95 + Furmark - Max GPU Temp</t>
  </si>
  <si>
    <t>Prime 95 + Furmark - Avg GPU Clock</t>
  </si>
  <si>
    <t>Prime 95 + Furmark - Max GPU Clock</t>
  </si>
  <si>
    <t>Prime 95 + Furmark - Avg GPU Power</t>
  </si>
  <si>
    <t>Prime 95 + Furmark - Max GPU Power</t>
  </si>
  <si>
    <t>Worst CPU Multicore score (pts)</t>
  </si>
  <si>
    <t>Average</t>
  </si>
  <si>
    <t>Max</t>
  </si>
  <si>
    <t>Best CPU Multicore score (pts)</t>
  </si>
  <si>
    <t>Cinebench (60 min)</t>
  </si>
  <si>
    <t>Temperature (C)</t>
  </si>
  <si>
    <t>CPU Max clock (MHz)</t>
  </si>
  <si>
    <t>NO NEED TO TEST</t>
  </si>
  <si>
    <t>Clock (MHz)</t>
  </si>
  <si>
    <t>CPU Ave clock (MHz)</t>
  </si>
  <si>
    <t>Power (W)</t>
  </si>
  <si>
    <t>CPU Min clock (MHz)</t>
  </si>
  <si>
    <t>Fan Speed (RPM)</t>
  </si>
  <si>
    <t>CPU Max Temp (C)</t>
  </si>
  <si>
    <t>Prime 95 (60 min)</t>
  </si>
  <si>
    <t>CPU Ave Temp (C)</t>
  </si>
  <si>
    <t>CPU Max Power (W)</t>
  </si>
  <si>
    <t>CPU Ave Power (W)</t>
  </si>
  <si>
    <t>CPU Min Power (W)</t>
  </si>
  <si>
    <t>Heaven (60 min)</t>
  </si>
  <si>
    <t>CORE0</t>
  </si>
  <si>
    <t>CORE1</t>
  </si>
  <si>
    <t>CORE2</t>
  </si>
  <si>
    <t>CORE3</t>
  </si>
  <si>
    <t>Prime 95 + Furmark (60 min)</t>
  </si>
  <si>
    <t>CORE4</t>
  </si>
  <si>
    <t>CORE5</t>
  </si>
  <si>
    <t>CORE6</t>
  </si>
  <si>
    <t>CORE7</t>
  </si>
  <si>
    <t>CPU FAN Max Speed (RPM)</t>
  </si>
  <si>
    <t>CPU FAN Ave Speed (RPM)</t>
  </si>
  <si>
    <t>GPU Max clock (MHz)</t>
  </si>
  <si>
    <t>GPU Ave clock (MHz)</t>
  </si>
  <si>
    <t>GPU Min clock (MHz)</t>
  </si>
  <si>
    <t>GPU Max Temp (C)</t>
  </si>
  <si>
    <t>GPU Ave Temp (C)</t>
  </si>
  <si>
    <t>GPU Max Power (W)</t>
  </si>
  <si>
    <t>GPU Ave Power (W)</t>
  </si>
  <si>
    <t>GPU Min Power (W)</t>
  </si>
  <si>
    <t>GPU FAN Max Speed (RPM)</t>
  </si>
  <si>
    <t>GPU FAN Ave Speed (RPM)</t>
  </si>
  <si>
    <t>Heaven Benchmark
60min</t>
  </si>
  <si>
    <t>Prime95
60mins</t>
  </si>
  <si>
    <t>Prime95
&amp; FurMark
60min</t>
  </si>
  <si>
    <t>Measure by IR</t>
  </si>
  <si>
    <t>E Key</t>
  </si>
  <si>
    <t>F Key</t>
  </si>
  <si>
    <t>G Key</t>
  </si>
  <si>
    <t>R Key</t>
  </si>
  <si>
    <t>F5 Key</t>
  </si>
  <si>
    <t>6 Key</t>
  </si>
  <si>
    <t>Non AniMe Matrix</t>
  </si>
  <si>
    <t>Total Hour</t>
  </si>
  <si>
    <t>Web browsing (hours)</t>
  </si>
  <si>
    <t>Maximum Runtime (hours)</t>
  </si>
  <si>
    <t>1080p Video Playback (hours)</t>
  </si>
  <si>
    <t>PCMark 10 - Work Mode (hours)</t>
  </si>
  <si>
    <t>MSFT Battery life tool</t>
  </si>
  <si>
    <t>Web browsing</t>
  </si>
  <si>
    <t>Maximum Runtime</t>
  </si>
  <si>
    <t>1080p Video Playback</t>
  </si>
  <si>
    <t xml:space="preserve">PCMark10 </t>
  </si>
  <si>
    <t>PCMark 10 (Work Mode)</t>
  </si>
  <si>
    <t>AniMe Matrix</t>
  </si>
  <si>
    <t>TPR Performance</t>
  </si>
  <si>
    <t>GPU Mode</t>
  </si>
  <si>
    <t>3DMark Fire Strike - Score</t>
  </si>
  <si>
    <t>3DMark Fire Strike - Graphics Score</t>
  </si>
  <si>
    <t>3DMark Fire Strike - Physics Score</t>
  </si>
  <si>
    <t>3DMark Fire Strike - Combined Score</t>
  </si>
  <si>
    <t>3DMark Port Royal - Score</t>
  </si>
  <si>
    <t>3DMark Time Spy - Score</t>
  </si>
  <si>
    <t>3DMark Time Spy - Graphics Score</t>
  </si>
  <si>
    <t>3DMark Time Spy - CPU Score</t>
  </si>
  <si>
    <t>3DMark Speed Way - Score</t>
  </si>
  <si>
    <t>3DMark Wild Life - Score</t>
  </si>
  <si>
    <t>3DMark Wild Life  - Graphics Score</t>
  </si>
  <si>
    <t>3DMark Wild Life  - CPU Score</t>
  </si>
  <si>
    <t>CB 2024 (SC)</t>
  </si>
  <si>
    <t>CB 2024 (MC)</t>
  </si>
  <si>
    <t>CB R23 (SC)</t>
  </si>
  <si>
    <t>CB R23 (MC)</t>
  </si>
  <si>
    <t>Handbrake 4K to 1080p (Seconds)</t>
  </si>
  <si>
    <t>PCMark 10 - Score</t>
  </si>
  <si>
    <t>PCMark 10 - Essentials</t>
  </si>
  <si>
    <t>PCMark 10 - Digital Content Score</t>
  </si>
  <si>
    <t>PCMark 10 - Productivity</t>
  </si>
  <si>
    <t>AIDA 64 - Memory Read (MB/s)</t>
  </si>
  <si>
    <t>AIDA 64 - Memory Write (MB/s)</t>
  </si>
  <si>
    <t>AIDA 64 - Memory Copy (MB/s)</t>
  </si>
  <si>
    <t>AIDA 64 - Memory Latency (ns)</t>
  </si>
  <si>
    <t>SSD Sequential Read (MB/s)</t>
  </si>
  <si>
    <t>SSD Sequential Write (MB/s)</t>
  </si>
  <si>
    <t>SSD Random Read (MB/s)</t>
  </si>
  <si>
    <t>SSD Random Write (MB/s)</t>
  </si>
  <si>
    <t>UL Procyon - AI Computer Vision - Overall Score</t>
  </si>
  <si>
    <t>UL Procyon - AI Computer Vision - MobileNet V3 avg. Inference Time</t>
  </si>
  <si>
    <t>UL Procyon - AI Computer Vision - ResNet 50 avg. Inference Time</t>
  </si>
  <si>
    <t>UL Procyon - AI Computer Vision - Inception V4 avg. Inference Time</t>
  </si>
  <si>
    <t>UL Procyon - AI Computer Vision - Deeplab V3 avg. Inference Time</t>
  </si>
  <si>
    <t>UL Procyon - AI Computer Vision - YOLO V3 avg. Inference Time</t>
  </si>
  <si>
    <t>UL Procyon - AI Computer Vision - REAL-ESRGAN avg. Inference Time</t>
  </si>
  <si>
    <t>Fan Mode</t>
  </si>
  <si>
    <t>Silent</t>
  </si>
  <si>
    <t>avg</t>
  </si>
  <si>
    <t>NV Advanced Optimus/Smart Access Graphics/dGPU</t>
  </si>
  <si>
    <t>3DMark for Windows 
Fire Strike mode</t>
  </si>
  <si>
    <t>Fire Strike Score</t>
  </si>
  <si>
    <t>Graphics Score</t>
  </si>
  <si>
    <t>Physics Score</t>
  </si>
  <si>
    <t>Combined Score</t>
  </si>
  <si>
    <t>3DMark for Windows 
Port Royal mode</t>
  </si>
  <si>
    <t>Port Royal Score</t>
  </si>
  <si>
    <t>Resolution</t>
  </si>
  <si>
    <t>Far Cry 6</t>
  </si>
  <si>
    <t>Metro Exodus RT OFF</t>
  </si>
  <si>
    <t>Metro Exodus RT ON</t>
  </si>
  <si>
    <t>SotTR</t>
  </si>
  <si>
    <t>RDR 2</t>
  </si>
  <si>
    <t>Assasin's Creed Valhalla</t>
  </si>
  <si>
    <t>FHD</t>
  </si>
  <si>
    <t>3DMark for Windows 
Time Spy mode</t>
  </si>
  <si>
    <t>Time Spy Score</t>
  </si>
  <si>
    <t>QHD</t>
  </si>
  <si>
    <t>CPU Score</t>
  </si>
  <si>
    <t>3DMark for Windows 
Speed Way mode</t>
  </si>
  <si>
    <t>UHD</t>
  </si>
  <si>
    <t>Cinebench R23</t>
  </si>
  <si>
    <t>CPU score (pts)</t>
  </si>
  <si>
    <t>CPU score (Single Core)  (pts)</t>
  </si>
  <si>
    <t>Optimus</t>
  </si>
  <si>
    <t>--</t>
  </si>
  <si>
    <t xml:space="preserve">AIDA64 </t>
  </si>
  <si>
    <t>CPU Photoworxx (MPixel/s)</t>
  </si>
  <si>
    <t>Memory Read (MB/s)</t>
  </si>
  <si>
    <t>Memory Write (MB/s)</t>
  </si>
  <si>
    <t>Memory Copy (MB/s)</t>
  </si>
  <si>
    <t>Memory Latency (ns)</t>
  </si>
  <si>
    <t>CrystalDiskMark 
Main HDD/SSD</t>
  </si>
  <si>
    <t>SEQ 1MiB (Q= 8, T= 1)-Read (MB)</t>
  </si>
  <si>
    <t>SEQ 1MiB (Q= 8, T= 1)-Write (MB)</t>
  </si>
  <si>
    <t>SEQ 1MiB (Q= 1, T= 1)-Read (MB)</t>
  </si>
  <si>
    <t>SEQ 1MiB (Q= 1, T= 1)-Write (MB)</t>
  </si>
  <si>
    <t>RND 4KiB (Q= 32, T= 1)-Read (MB)</t>
  </si>
  <si>
    <t>RND 4KiB (Q= 32, T= 1)-Write (MB)</t>
  </si>
  <si>
    <t>RND 4KiB (Q= 1, T= 1)-Read (MB)</t>
  </si>
  <si>
    <t>RND 4KiB (Q= 1, T= 1)-Write (MB)</t>
  </si>
  <si>
    <t>CrystalDiskMark 
Second HDD/SSD</t>
  </si>
  <si>
    <t>PCMark10 Score</t>
  </si>
  <si>
    <t>Essentials</t>
  </si>
  <si>
    <t>App Start-up Score</t>
  </si>
  <si>
    <t>Video Conferencing Score</t>
  </si>
  <si>
    <t>Web Browsing Score</t>
  </si>
  <si>
    <t>Productivity</t>
  </si>
  <si>
    <t>Spreadsheets Score</t>
  </si>
  <si>
    <t>Writing Score</t>
  </si>
  <si>
    <t>Digital Content Score</t>
  </si>
  <si>
    <t>Photo Editing Score</t>
  </si>
  <si>
    <t>Rendering and Visualization Score</t>
  </si>
  <si>
    <t>Video Editing Score</t>
  </si>
  <si>
    <t>HandBrake</t>
  </si>
  <si>
    <t>Encoding Time</t>
  </si>
  <si>
    <t>Rainbow Six Siege FHD</t>
  </si>
  <si>
    <t>Average FPS</t>
  </si>
  <si>
    <t>Min FPS</t>
  </si>
  <si>
    <t>Max FPS</t>
  </si>
  <si>
    <t>Rainbow Six Siege 2K</t>
  </si>
  <si>
    <t>Rainbow Six Siege 3K</t>
  </si>
  <si>
    <t>Rainbow Six Siege 4K</t>
  </si>
  <si>
    <t>Metro Exodus w/o RTX FHD</t>
  </si>
  <si>
    <t>Metro Exodus w/o RTX 2K</t>
  </si>
  <si>
    <t>Metro Exodus w/o RTX 3K</t>
  </si>
  <si>
    <t>Metro Exodus w/o RTX 4K</t>
  </si>
  <si>
    <t>Metro Exodus w/ RTX 2K</t>
  </si>
  <si>
    <t>Metro Exodus w/ RTX 3K</t>
  </si>
  <si>
    <t>Metro Exodus w/ RTX 4K</t>
  </si>
  <si>
    <t>Cyberpunk 2077 2K</t>
  </si>
  <si>
    <t>Cyberpunk 2077 3K</t>
  </si>
  <si>
    <t>Cyberpunk 2077 4K</t>
  </si>
  <si>
    <t>Cyberpunk 2077 w/ DLSS 2K</t>
  </si>
  <si>
    <t>Cyberpunk 2077 w/ DLSS 3K</t>
  </si>
  <si>
    <t>Cyberpunk 2077 w/ DLSS 4K</t>
  </si>
  <si>
    <t>CS2 FHD</t>
  </si>
  <si>
    <t>CS2 2K</t>
  </si>
  <si>
    <t>CS2 3K</t>
  </si>
  <si>
    <t>CS2 4K</t>
  </si>
  <si>
    <t>Monster Hunter Wilds FHD</t>
  </si>
  <si>
    <t>Score</t>
  </si>
  <si>
    <t>Monster Hunter Wilds 2K</t>
  </si>
  <si>
    <t>Monster Hunter Wilds 3K</t>
  </si>
  <si>
    <t>Monster Hunter Wilds 4K</t>
  </si>
  <si>
    <t>SOTTR 2K</t>
  </si>
  <si>
    <t>SOTTR 3K</t>
  </si>
  <si>
    <t>SOTTR 4K</t>
  </si>
  <si>
    <t>Red Dead Redemption2 FHD</t>
  </si>
  <si>
    <t>Red Dead Redemption2 2K</t>
  </si>
  <si>
    <t>Red Dead Redemption2 3K</t>
  </si>
  <si>
    <t>Red Dead Redemption2 4K</t>
  </si>
  <si>
    <t>Forza Horizon 5 FHD</t>
  </si>
  <si>
    <t>Forza Horizon 5 2K</t>
  </si>
  <si>
    <t>Forza Horizon 5 3K</t>
  </si>
  <si>
    <t>Forza Horizon 5 4K</t>
  </si>
  <si>
    <t>UL Procyon AI (NPU) 
Intel OpenVINO INT8</t>
  </si>
  <si>
    <t>Overall Score</t>
  </si>
  <si>
    <t>MobileNet V3</t>
  </si>
  <si>
    <t>ResNet 50</t>
  </si>
  <si>
    <t>Inception V4</t>
  </si>
  <si>
    <t>DeepLab V3</t>
  </si>
  <si>
    <t>YOLO V3</t>
  </si>
  <si>
    <t>Real-ESRGAN</t>
  </si>
  <si>
    <t>UL Procyon AI (NPU) 
AMD Ryzen AI INT8</t>
  </si>
  <si>
    <t>UL Procyon AI (NPU) 
Qualcomm SNPE INT8</t>
  </si>
  <si>
    <t>UL Procyon AI (GPU) 
MSFT Windows ML INT8</t>
  </si>
  <si>
    <t>UL Procyon AI (GPU) 
Nvidia TensorRT INT8</t>
  </si>
  <si>
    <t>Eco</t>
  </si>
  <si>
    <t>3DMark Time Spy - Physics Score</t>
  </si>
  <si>
    <t>3DMark Wild Life - Graphics Score</t>
  </si>
  <si>
    <t>Rainbow Six Siege FHD - Medium Settings - Avg. FPS</t>
  </si>
  <si>
    <t>CS2 FHD - Medium Settings - Avg. FPS</t>
  </si>
  <si>
    <t>iGPU</t>
  </si>
  <si>
    <t>3DMark for Windows 
Wild Life mode</t>
  </si>
  <si>
    <t>Wild Life Score</t>
  </si>
  <si>
    <t>Pugetbench Photoshop - Overall Score</t>
  </si>
  <si>
    <t>Pugetbench Photoshop - General Score</t>
  </si>
  <si>
    <t>Pugetbench Photoshop - Filter Score</t>
  </si>
  <si>
    <t>Pugetbench Photoshop - GPU Score</t>
  </si>
  <si>
    <t>Pugetbench Lightroom - Overall Score</t>
  </si>
  <si>
    <t>Pugetbench Lightroom - Active Tasks</t>
  </si>
  <si>
    <t>Pugetbench Lightroom - Passive Tasks</t>
  </si>
  <si>
    <t>Pugetbench Premiere Pro - Extended Score</t>
  </si>
  <si>
    <t>Pugetbench Premiere Pro - Intraframe Score</t>
  </si>
  <si>
    <t>Pugetbench Premiere Pro - RAW Score</t>
  </si>
  <si>
    <t>Pugetbench Premiere Pro - GPU Effects</t>
  </si>
  <si>
    <t>Pugetbench Premiere Pro - Overall Score</t>
  </si>
  <si>
    <t>Pugetbench After Effects - Overall Score</t>
  </si>
  <si>
    <t>Pugetbench After Effects - GPU Score</t>
  </si>
  <si>
    <t>Pugetbench After Effects - Preview Score</t>
  </si>
  <si>
    <t>Pugetbench After Effects - Render Score</t>
  </si>
  <si>
    <t>Pugetbench After Effects - Tracking Score</t>
  </si>
  <si>
    <t>Specviewperf - Maya - Score</t>
  </si>
  <si>
    <t>Specviewperf - Solidworks - Score</t>
  </si>
  <si>
    <t>Pugetbench Photoshop</t>
  </si>
  <si>
    <t>Overall Score (Standard)</t>
  </si>
  <si>
    <t>General Score (Standard)</t>
  </si>
  <si>
    <t>Filter Score (Standard)</t>
  </si>
  <si>
    <t>Pugetbench Lightroom</t>
  </si>
  <si>
    <t>Active Tasks</t>
  </si>
  <si>
    <t>Passive Tasks</t>
  </si>
  <si>
    <t>Pugetbench Premiere Pro</t>
  </si>
  <si>
    <t>LongGOP Score</t>
  </si>
  <si>
    <t>Intraframe Score</t>
  </si>
  <si>
    <t>RAW Score</t>
  </si>
  <si>
    <t>GPU Effects Score</t>
  </si>
  <si>
    <t>Pugetbench After Effects</t>
  </si>
  <si>
    <t>2D Score (Standard)</t>
  </si>
  <si>
    <t>3D Score (Standard)</t>
  </si>
  <si>
    <t>Tracking Score (Standard)</t>
  </si>
  <si>
    <t>Specviewperf - Maya</t>
  </si>
  <si>
    <t>Specviewperf - Solidworks</t>
  </si>
  <si>
    <t>NA</t>
    <phoneticPr fontId="22" type="noConversion"/>
  </si>
  <si>
    <t>UL Procyon Office productivity</t>
    <phoneticPr fontId="22" type="noConversion"/>
  </si>
  <si>
    <t>NA</t>
  </si>
  <si>
    <r>
      <t>Adobe ODM</t>
    </r>
    <r>
      <rPr>
        <sz val="11"/>
        <color theme="1"/>
        <rFont val="Microsoft JhengHei"/>
        <family val="2"/>
      </rPr>
      <t>暫時無需求測試</t>
    </r>
    <phoneticPr fontId="22" type="noConversion"/>
  </si>
  <si>
    <t>Metro Exodus w/ RTX FHD</t>
    <phoneticPr fontId="22" type="noConversion"/>
  </si>
  <si>
    <t>Cyberpunk 2077 w/ DLSS FHD</t>
    <phoneticPr fontId="22" type="noConversion"/>
  </si>
  <si>
    <r>
      <t>iGPU</t>
    </r>
    <r>
      <rPr>
        <sz val="11"/>
        <color theme="1"/>
        <rFont val="微軟正黑體"/>
        <family val="2"/>
        <charset val="136"/>
      </rPr>
      <t>不</t>
    </r>
    <r>
      <rPr>
        <sz val="11"/>
        <color theme="1"/>
        <rFont val="Microsoft JhengHei"/>
        <family val="2"/>
      </rPr>
      <t>需驗證</t>
    </r>
    <phoneticPr fontId="22" type="noConversion"/>
  </si>
  <si>
    <t>FA401EA</t>
  </si>
  <si>
    <t>14</t>
  </si>
  <si>
    <t>0</t>
  </si>
  <si>
    <t>2026/1/15 12:25:01</t>
  </si>
  <si>
    <t>FA401EA.303</t>
  </si>
  <si>
    <t>X64W11_25H2_SWP_FA401EA_02.00</t>
  </si>
  <si>
    <t>AMD RYZEN AI MAX+ 392 w/ Radeon 8060S</t>
  </si>
  <si>
    <t>Micron Technology MT62F1G32D2DS-023 WT(4GB,LPDDR5);Micron Technology MT62F1G32D2DS-023 WT(4GB,LPDDR5);Micron Technology MT62F1G32D2DS-023 WT(4GB,LPDDR5);Micron Technology MT62F1G32D2DS-023 WT(4GB,LPDDR5);Micron Technology MT62F1G32D2DS-023 WT(4GB,LPDDR5);</t>
  </si>
  <si>
    <t>32.00 GB</t>
  </si>
  <si>
    <t>AMD Radeon(TM) 8060S Graphics (512 MB)</t>
  </si>
  <si>
    <t>32.0.22032.3003</t>
  </si>
  <si>
    <t>=L3011 (BOE0DFA):NE140QDM-NX8;</t>
  </si>
  <si>
    <t>165</t>
  </si>
  <si>
    <t>115</t>
  </si>
  <si>
    <t>73</t>
  </si>
  <si>
    <t>Rainbow Six Siege FHD</t>
    <phoneticPr fontId="22" type="noConversion"/>
  </si>
  <si>
    <t>Cyberpunk 2077 FHD</t>
    <phoneticPr fontId="22" type="noConversion"/>
  </si>
  <si>
    <t>SOTTR FHD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</si>
</sst>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"/>
    <numFmt numFmtId="178" formatCode="0.00_ "/>
    <numFmt numFmtId="179" formatCode="0.0_ "/>
  </numFmts>
  <fonts count="28">
    <font>
      <sz val="11"/>
      <color theme="1"/>
      <name val="Arial"/>
      <charset val="134"/>
    </font>
    <font>
      <sz val="12"/>
      <color theme="1"/>
      <name val="Calibri"/>
      <family val="2"/>
      <charset val="136"/>
      <scheme val="minor"/>
    </font>
    <font>
      <sz val="40"/>
      <color theme="1"/>
      <name val="Arial"/>
      <family val="2"/>
    </font>
    <font>
      <sz val="11"/>
      <color theme="1"/>
      <name val="Calibri"/>
      <family val="2"/>
      <scheme val="major"/>
    </font>
    <font>
      <b/>
      <sz val="14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name val="Calibri"/>
      <family val="2"/>
      <scheme val="major"/>
    </font>
    <font>
      <sz val="8"/>
      <name val="Verdana"/>
      <family val="2"/>
    </font>
    <font>
      <b/>
      <sz val="11"/>
      <color theme="1"/>
      <name val="Calibri"/>
      <family val="2"/>
      <scheme val="major"/>
    </font>
    <font>
      <b/>
      <sz val="11"/>
      <color theme="0"/>
      <name val="Calibri"/>
      <family val="2"/>
      <scheme val="major"/>
    </font>
    <font>
      <b/>
      <u/>
      <sz val="18"/>
      <color theme="0"/>
      <name val="Calibri"/>
      <family val="2"/>
      <scheme val="maj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FFFF"/>
      <name val="Calibri"/>
      <family val="2"/>
      <scheme val="maj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11"/>
      <color rgb="FF000000"/>
      <name val="細明體"/>
      <family val="3"/>
      <charset val="136"/>
    </font>
    <font>
      <sz val="11"/>
      <color rgb="FF000000"/>
      <name val="Arial"/>
      <family val="2"/>
    </font>
    <font>
      <sz val="9"/>
      <color rgb="FF000000"/>
      <name val="Tahoma"/>
      <family val="2"/>
    </font>
    <font>
      <b/>
      <sz val="9"/>
      <name val="Tahoma"/>
      <family val="2"/>
    </font>
    <font>
      <sz val="11"/>
      <color theme="1"/>
      <name val="Arial"/>
      <family val="2"/>
    </font>
    <font>
      <sz val="9"/>
      <name val="細明體"/>
      <family val="3"/>
      <charset val="136"/>
    </font>
    <font>
      <sz val="11"/>
      <color theme="1"/>
      <name val="Microsoft JhengHe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Tahoma"/>
      <family val="2"/>
    </font>
    <font>
      <sz val="11"/>
      <color theme="1"/>
      <name val="微軟正黑體"/>
      <family val="2"/>
      <charset val="136"/>
    </font>
  </fonts>
  <fills count="2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 tint="-0.249977111117893"/>
        <bgColor theme="9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FFFF00"/>
        <bgColor rgb="FFBFBFBF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0070C0"/>
        <bgColor theme="9"/>
      </patternFill>
    </fill>
    <fill>
      <patternFill patternType="solid">
        <fgColor theme="1"/>
        <bgColor rgb="FF00B050"/>
      </patternFill>
    </fill>
    <fill>
      <patternFill patternType="solid">
        <fgColor theme="1"/>
        <bgColor theme="9"/>
      </patternFill>
    </fill>
    <fill>
      <patternFill patternType="solid">
        <fgColor theme="1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808080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auto="1"/>
      </right>
      <top style="medium">
        <color rgb="FFC00000"/>
      </top>
      <bottom/>
      <diagonal/>
    </border>
    <border>
      <left style="medium">
        <color auto="1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medium">
        <color auto="1"/>
      </left>
      <right/>
      <top style="medium">
        <color rgb="FFC00000"/>
      </top>
      <bottom style="thin">
        <color auto="1"/>
      </bottom>
      <diagonal/>
    </border>
    <border>
      <left style="medium">
        <color rgb="FFC00000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medium">
        <color rgb="FFC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C00000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0000"/>
      </left>
      <right style="medium">
        <color auto="1"/>
      </right>
      <top/>
      <bottom style="medium">
        <color rgb="FFC00000"/>
      </bottom>
      <diagonal/>
    </border>
    <border>
      <left style="medium">
        <color auto="1"/>
      </left>
      <right/>
      <top style="thin">
        <color auto="1"/>
      </top>
      <bottom style="medium">
        <color rgb="FFC00000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medium">
        <color rgb="FFC00000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medium">
        <color rgb="FFC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C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C00000"/>
      </right>
      <top/>
      <bottom style="thin">
        <color auto="1"/>
      </bottom>
      <diagonal/>
    </border>
    <border>
      <left style="medium">
        <color rgb="FFC00000"/>
      </left>
      <right style="medium">
        <color auto="1"/>
      </right>
      <top style="medium">
        <color rgb="FFC00000"/>
      </top>
      <bottom style="thin">
        <color auto="1"/>
      </bottom>
      <diagonal/>
    </border>
    <border>
      <left style="medium">
        <color rgb="FFC0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rgb="FFC0000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medium">
        <color auto="1"/>
      </top>
      <bottom style="thin">
        <color auto="1"/>
      </bottom>
      <diagonal/>
    </border>
    <border>
      <left style="medium">
        <color rgb="FFC00000"/>
      </left>
      <right style="medium">
        <color auto="1"/>
      </right>
      <top style="thin">
        <color auto="1"/>
      </top>
      <bottom style="medium">
        <color rgb="FFC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0" fontId="15" fillId="0" borderId="0">
      <alignment vertical="center"/>
    </xf>
    <xf numFmtId="0" fontId="15" fillId="0" borderId="0">
      <alignment vertical="center"/>
    </xf>
    <xf numFmtId="0" fontId="21" fillId="0" borderId="0"/>
    <xf numFmtId="0" fontId="21" fillId="0" borderId="0"/>
    <xf numFmtId="0" fontId="14" fillId="0" borderId="0"/>
    <xf numFmtId="0" fontId="14" fillId="0" borderId="0"/>
    <xf numFmtId="0" fontId="1" fillId="0" borderId="0">
      <alignment vertical="center"/>
    </xf>
  </cellStyleXfs>
  <cellXfs count="247">
    <xf numFmtId="0" fontId="0" fillId="0" borderId="0" xfId="0"/>
    <xf numFmtId="0" fontId="2" fillId="0" borderId="0" xfId="0" applyFont="1"/>
    <xf numFmtId="0" fontId="3" fillId="0" borderId="0" xfId="4" applyFont="1"/>
    <xf numFmtId="176" fontId="3" fillId="3" borderId="1" xfId="4" applyNumberFormat="1" applyFont="1" applyFill="1" applyBorder="1" applyAlignment="1">
      <alignment horizontal="center" vertical="center" wrapText="1"/>
    </xf>
    <xf numFmtId="176" fontId="3" fillId="4" borderId="1" xfId="4" applyNumberFormat="1" applyFont="1" applyFill="1" applyBorder="1" applyAlignment="1">
      <alignment horizontal="center" vertical="center" wrapText="1"/>
    </xf>
    <xf numFmtId="0" fontId="3" fillId="5" borderId="0" xfId="4" applyFont="1" applyFill="1" applyAlignment="1">
      <alignment horizontal="center" vertical="center"/>
    </xf>
    <xf numFmtId="0" fontId="3" fillId="5" borderId="0" xfId="4" applyFont="1" applyFill="1" applyAlignment="1">
      <alignment wrapText="1"/>
    </xf>
    <xf numFmtId="0" fontId="3" fillId="2" borderId="2" xfId="4" applyFont="1" applyFill="1" applyBorder="1" applyAlignment="1">
      <alignment horizontal="center" vertical="center"/>
    </xf>
    <xf numFmtId="0" fontId="4" fillId="5" borderId="0" xfId="4" applyFont="1" applyFill="1" applyAlignment="1">
      <alignment vertical="center" wrapText="1"/>
    </xf>
    <xf numFmtId="0" fontId="3" fillId="5" borderId="0" xfId="4" applyFont="1" applyFill="1" applyAlignment="1">
      <alignment horizontal="center" vertical="center" wrapText="1"/>
    </xf>
    <xf numFmtId="1" fontId="3" fillId="5" borderId="0" xfId="4" applyNumberFormat="1" applyFont="1" applyFill="1" applyAlignment="1">
      <alignment horizontal="center" vertical="center"/>
    </xf>
    <xf numFmtId="0" fontId="3" fillId="0" borderId="1" xfId="4" applyFont="1" applyBorder="1" applyAlignment="1">
      <alignment horizontal="left" vertical="center" wrapText="1"/>
    </xf>
    <xf numFmtId="0" fontId="3" fillId="0" borderId="1" xfId="4" applyFont="1" applyBorder="1" applyAlignment="1" applyProtection="1">
      <alignment horizontal="center" vertical="center"/>
      <protection locked="0"/>
    </xf>
    <xf numFmtId="1" fontId="3" fillId="7" borderId="1" xfId="4" applyNumberFormat="1" applyFont="1" applyFill="1" applyBorder="1" applyAlignment="1" applyProtection="1">
      <alignment horizontal="center" vertical="center"/>
      <protection locked="0"/>
    </xf>
    <xf numFmtId="176" fontId="3" fillId="3" borderId="1" xfId="4" applyNumberFormat="1" applyFont="1" applyFill="1" applyBorder="1" applyAlignment="1" applyProtection="1">
      <alignment horizontal="center" vertical="center" wrapText="1"/>
      <protection locked="0"/>
    </xf>
    <xf numFmtId="176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4" borderId="1" xfId="4" applyFont="1" applyFill="1" applyBorder="1" applyAlignment="1">
      <alignment horizontal="center" vertical="center"/>
    </xf>
    <xf numFmtId="0" fontId="3" fillId="4" borderId="1" xfId="4" applyFont="1" applyFill="1" applyBorder="1" applyAlignment="1">
      <alignment horizontal="left" vertical="center" wrapText="1"/>
    </xf>
    <xf numFmtId="176" fontId="3" fillId="4" borderId="1" xfId="4" applyNumberFormat="1" applyFont="1" applyFill="1" applyBorder="1" applyAlignment="1" applyProtection="1">
      <alignment horizontal="center" vertical="center"/>
      <protection locked="0"/>
    </xf>
    <xf numFmtId="1" fontId="3" fillId="4" borderId="1" xfId="4" applyNumberFormat="1" applyFont="1" applyFill="1" applyBorder="1" applyAlignment="1" applyProtection="1">
      <alignment horizontal="center" vertical="center"/>
      <protection locked="0"/>
    </xf>
    <xf numFmtId="0" fontId="5" fillId="8" borderId="1" xfId="4" applyFont="1" applyFill="1" applyBorder="1" applyAlignment="1">
      <alignment horizontal="center" vertical="center"/>
    </xf>
    <xf numFmtId="0" fontId="6" fillId="0" borderId="1" xfId="4" applyFont="1" applyBorder="1" applyAlignment="1" applyProtection="1">
      <alignment horizontal="center" vertical="center"/>
      <protection locked="0"/>
    </xf>
    <xf numFmtId="176" fontId="6" fillId="4" borderId="1" xfId="4" applyNumberFormat="1" applyFont="1" applyFill="1" applyBorder="1" applyAlignment="1" applyProtection="1">
      <alignment horizontal="center" vertical="center"/>
      <protection locked="0"/>
    </xf>
    <xf numFmtId="0" fontId="3" fillId="0" borderId="0" xfId="4" applyFont="1" applyAlignment="1">
      <alignment horizontal="center" vertical="center"/>
    </xf>
    <xf numFmtId="0" fontId="3" fillId="0" borderId="0" xfId="3" applyFont="1"/>
    <xf numFmtId="176" fontId="3" fillId="3" borderId="1" xfId="3" applyNumberFormat="1" applyFont="1" applyFill="1" applyBorder="1" applyAlignment="1">
      <alignment horizontal="center" vertical="center" wrapText="1"/>
    </xf>
    <xf numFmtId="176" fontId="3" fillId="4" borderId="1" xfId="3" applyNumberFormat="1" applyFont="1" applyFill="1" applyBorder="1" applyAlignment="1">
      <alignment horizontal="center" vertical="center" wrapText="1"/>
    </xf>
    <xf numFmtId="0" fontId="3" fillId="5" borderId="0" xfId="3" applyFont="1" applyFill="1" applyAlignment="1">
      <alignment horizontal="center" vertical="center"/>
    </xf>
    <xf numFmtId="0" fontId="3" fillId="5" borderId="0" xfId="3" applyFont="1" applyFill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/>
    </xf>
    <xf numFmtId="0" fontId="4" fillId="5" borderId="0" xfId="3" applyFont="1" applyFill="1" applyAlignment="1">
      <alignment vertical="center" wrapText="1"/>
    </xf>
    <xf numFmtId="1" fontId="3" fillId="5" borderId="0" xfId="3" applyNumberFormat="1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1" fontId="3" fillId="7" borderId="1" xfId="0" applyNumberFormat="1" applyFont="1" applyFill="1" applyBorder="1" applyAlignment="1" applyProtection="1">
      <alignment horizontal="center" vertical="center"/>
      <protection locked="0"/>
    </xf>
    <xf numFmtId="176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 applyProtection="1">
      <alignment horizontal="center" vertical="center"/>
      <protection locked="0"/>
    </xf>
    <xf numFmtId="1" fontId="3" fillId="4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3" applyFont="1" applyFill="1" applyBorder="1" applyAlignment="1">
      <alignment horizontal="center" vertical="center"/>
    </xf>
    <xf numFmtId="0" fontId="3" fillId="4" borderId="1" xfId="3" applyFont="1" applyFill="1" applyBorder="1" applyAlignment="1">
      <alignment horizontal="left" vertical="center" wrapText="1"/>
    </xf>
    <xf numFmtId="176" fontId="3" fillId="4" borderId="1" xfId="3" applyNumberFormat="1" applyFont="1" applyFill="1" applyBorder="1" applyAlignment="1" applyProtection="1">
      <alignment horizontal="center" vertical="center"/>
      <protection locked="0"/>
    </xf>
    <xf numFmtId="1" fontId="3" fillId="4" borderId="1" xfId="3" applyNumberFormat="1" applyFont="1" applyFill="1" applyBorder="1" applyAlignment="1" applyProtection="1">
      <alignment horizontal="center" vertical="center"/>
      <protection locked="0"/>
    </xf>
    <xf numFmtId="0" fontId="3" fillId="8" borderId="1" xfId="3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1" xfId="3" applyFont="1" applyBorder="1" applyAlignment="1" applyProtection="1">
      <alignment horizontal="center" vertical="center"/>
      <protection locked="0"/>
    </xf>
    <xf numFmtId="1" fontId="3" fillId="7" borderId="1" xfId="3" applyNumberFormat="1" applyFont="1" applyFill="1" applyBorder="1" applyAlignment="1" applyProtection="1">
      <alignment horizontal="center" vertical="center"/>
      <protection locked="0"/>
    </xf>
    <xf numFmtId="176" fontId="3" fillId="3" borderId="1" xfId="3" applyNumberFormat="1" applyFont="1" applyFill="1" applyBorder="1" applyAlignment="1" applyProtection="1">
      <alignment horizontal="center" vertical="center" wrapText="1"/>
      <protection locked="0"/>
    </xf>
    <xf numFmtId="176" fontId="3" fillId="4" borderId="1" xfId="3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3" applyFont="1" applyBorder="1" applyAlignment="1" applyProtection="1">
      <alignment horizontal="center" vertical="center"/>
      <protection locked="0"/>
    </xf>
    <xf numFmtId="0" fontId="3" fillId="0" borderId="0" xfId="3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176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1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177" fontId="3" fillId="5" borderId="0" xfId="0" applyNumberFormat="1" applyFont="1" applyFill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76" fontId="6" fillId="4" borderId="1" xfId="0" applyNumberFormat="1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/>
    </xf>
    <xf numFmtId="0" fontId="3" fillId="5" borderId="0" xfId="0" applyFont="1" applyFill="1"/>
    <xf numFmtId="0" fontId="3" fillId="0" borderId="16" xfId="0" applyFont="1" applyBorder="1" applyAlignment="1">
      <alignment horizontal="center" vertical="center" wrapText="1"/>
    </xf>
    <xf numFmtId="177" fontId="3" fillId="0" borderId="1" xfId="0" applyNumberFormat="1" applyFont="1" applyBorder="1" applyAlignment="1" applyProtection="1">
      <alignment horizontal="center" vertical="center"/>
      <protection locked="0"/>
    </xf>
    <xf numFmtId="177" fontId="3" fillId="5" borderId="0" xfId="0" applyNumberFormat="1" applyFont="1" applyFill="1"/>
    <xf numFmtId="0" fontId="3" fillId="11" borderId="16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3" fillId="0" borderId="0" xfId="2" applyFont="1">
      <alignment vertical="center"/>
    </xf>
    <xf numFmtId="0" fontId="3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76" fontId="3" fillId="4" borderId="16" xfId="0" applyNumberFormat="1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13" borderId="14" xfId="0" applyNumberFormat="1" applyFont="1" applyFill="1" applyBorder="1" applyAlignment="1">
      <alignment horizontal="center" vertical="center"/>
    </xf>
    <xf numFmtId="176" fontId="3" fillId="15" borderId="16" xfId="0" applyNumberFormat="1" applyFont="1" applyFill="1" applyBorder="1" applyAlignment="1">
      <alignment horizontal="center" vertical="center" wrapText="1"/>
    </xf>
    <xf numFmtId="176" fontId="3" fillId="4" borderId="16" xfId="0" applyNumberFormat="1" applyFont="1" applyFill="1" applyBorder="1" applyAlignment="1" applyProtection="1">
      <alignment horizontal="center" vertical="center" wrapText="1"/>
      <protection locked="0"/>
    </xf>
    <xf numFmtId="176" fontId="3" fillId="15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16" borderId="16" xfId="0" applyFont="1" applyFill="1" applyBorder="1" applyAlignment="1">
      <alignment horizontal="left" vertical="center"/>
    </xf>
    <xf numFmtId="0" fontId="3" fillId="16" borderId="14" xfId="0" applyFont="1" applyFill="1" applyBorder="1" applyAlignment="1">
      <alignment vertical="center"/>
    </xf>
    <xf numFmtId="176" fontId="3" fillId="0" borderId="14" xfId="3" applyNumberFormat="1" applyFont="1" applyBorder="1" applyAlignment="1" applyProtection="1">
      <alignment horizontal="center" vertical="center"/>
      <protection locked="0"/>
    </xf>
    <xf numFmtId="176" fontId="3" fillId="17" borderId="14" xfId="0" applyNumberFormat="1" applyFont="1" applyFill="1" applyBorder="1" applyAlignment="1" applyProtection="1">
      <alignment horizontal="center" vertical="center"/>
      <protection locked="0"/>
    </xf>
    <xf numFmtId="0" fontId="8" fillId="5" borderId="28" xfId="0" applyFont="1" applyFill="1" applyBorder="1" applyAlignment="1">
      <alignment horizontal="center"/>
    </xf>
    <xf numFmtId="176" fontId="3" fillId="5" borderId="0" xfId="0" applyNumberFormat="1" applyFont="1" applyFill="1"/>
    <xf numFmtId="0" fontId="3" fillId="5" borderId="31" xfId="0" applyFont="1" applyFill="1" applyBorder="1"/>
    <xf numFmtId="176" fontId="3" fillId="5" borderId="32" xfId="0" applyNumberFormat="1" applyFont="1" applyFill="1" applyBorder="1" applyAlignment="1">
      <alignment horizontal="center"/>
    </xf>
    <xf numFmtId="176" fontId="3" fillId="5" borderId="33" xfId="0" applyNumberFormat="1" applyFont="1" applyFill="1" applyBorder="1" applyAlignment="1">
      <alignment horizontal="center"/>
    </xf>
    <xf numFmtId="0" fontId="3" fillId="5" borderId="37" xfId="0" applyFont="1" applyFill="1" applyBorder="1"/>
    <xf numFmtId="176" fontId="3" fillId="5" borderId="38" xfId="0" applyNumberFormat="1" applyFont="1" applyFill="1" applyBorder="1" applyAlignment="1">
      <alignment horizontal="center"/>
    </xf>
    <xf numFmtId="176" fontId="3" fillId="5" borderId="39" xfId="0" applyNumberFormat="1" applyFont="1" applyFill="1" applyBorder="1" applyAlignment="1">
      <alignment horizontal="center"/>
    </xf>
    <xf numFmtId="0" fontId="3" fillId="5" borderId="43" xfId="0" applyFont="1" applyFill="1" applyBorder="1"/>
    <xf numFmtId="176" fontId="3" fillId="5" borderId="44" xfId="0" applyNumberFormat="1" applyFont="1" applyFill="1" applyBorder="1" applyAlignment="1">
      <alignment horizontal="center"/>
    </xf>
    <xf numFmtId="176" fontId="3" fillId="5" borderId="45" xfId="0" applyNumberFormat="1" applyFont="1" applyFill="1" applyBorder="1" applyAlignment="1">
      <alignment horizontal="center"/>
    </xf>
    <xf numFmtId="0" fontId="3" fillId="5" borderId="46" xfId="0" applyFont="1" applyFill="1" applyBorder="1"/>
    <xf numFmtId="176" fontId="3" fillId="5" borderId="47" xfId="0" applyNumberFormat="1" applyFont="1" applyFill="1" applyBorder="1" applyAlignment="1">
      <alignment horizontal="center"/>
    </xf>
    <xf numFmtId="176" fontId="3" fillId="5" borderId="48" xfId="0" applyNumberFormat="1" applyFont="1" applyFill="1" applyBorder="1" applyAlignment="1">
      <alignment horizontal="center"/>
    </xf>
    <xf numFmtId="0" fontId="3" fillId="5" borderId="51" xfId="0" applyFont="1" applyFill="1" applyBorder="1"/>
    <xf numFmtId="176" fontId="3" fillId="5" borderId="52" xfId="0" applyNumberFormat="1" applyFont="1" applyFill="1" applyBorder="1" applyAlignment="1">
      <alignment horizontal="center"/>
    </xf>
    <xf numFmtId="176" fontId="3" fillId="5" borderId="53" xfId="0" applyNumberFormat="1" applyFont="1" applyFill="1" applyBorder="1" applyAlignment="1">
      <alignment horizontal="center"/>
    </xf>
    <xf numFmtId="0" fontId="3" fillId="5" borderId="54" xfId="0" applyFont="1" applyFill="1" applyBorder="1"/>
    <xf numFmtId="176" fontId="3" fillId="5" borderId="55" xfId="0" applyNumberFormat="1" applyFont="1" applyFill="1" applyBorder="1" applyAlignment="1">
      <alignment horizontal="center"/>
    </xf>
    <xf numFmtId="176" fontId="3" fillId="5" borderId="56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11" fillId="11" borderId="2" xfId="0" applyFont="1" applyFill="1" applyBorder="1" applyAlignment="1">
      <alignment vertical="center"/>
    </xf>
    <xf numFmtId="0" fontId="11" fillId="11" borderId="2" xfId="0" applyFont="1" applyFill="1" applyBorder="1" applyAlignment="1">
      <alignment horizontal="left" vertical="center"/>
    </xf>
    <xf numFmtId="0" fontId="11" fillId="0" borderId="0" xfId="0" applyFont="1" applyProtection="1">
      <protection locked="0"/>
    </xf>
    <xf numFmtId="0" fontId="11" fillId="0" borderId="1" xfId="0" applyFont="1" applyBorder="1" applyAlignment="1">
      <alignment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16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>
      <alignment vertical="center" wrapText="1"/>
    </xf>
    <xf numFmtId="0" fontId="5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1" fontId="11" fillId="7" borderId="1" xfId="0" applyNumberFormat="1" applyFont="1" applyFill="1" applyBorder="1" applyAlignment="1" applyProtection="1">
      <alignment horizontal="center" vertical="center"/>
      <protection locked="0"/>
    </xf>
    <xf numFmtId="176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11" fillId="4" borderId="1" xfId="0" applyNumberFormat="1" applyFont="1" applyFill="1" applyBorder="1" applyAlignment="1" applyProtection="1">
      <alignment horizontal="center" vertical="center"/>
      <protection locked="0"/>
    </xf>
    <xf numFmtId="1" fontId="11" fillId="4" borderId="1" xfId="0" applyNumberFormat="1" applyFont="1" applyFill="1" applyBorder="1" applyAlignment="1" applyProtection="1">
      <alignment horizontal="center" vertical="center"/>
      <protection locked="0"/>
    </xf>
    <xf numFmtId="176" fontId="5" fillId="4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76" fontId="3" fillId="0" borderId="1" xfId="3" applyNumberFormat="1" applyFont="1" applyBorder="1" applyAlignment="1" applyProtection="1">
      <alignment horizontal="center" vertical="center"/>
      <protection locked="0"/>
    </xf>
    <xf numFmtId="176" fontId="3" fillId="4" borderId="15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58" xfId="3" applyNumberFormat="1" applyFont="1" applyBorder="1" applyAlignment="1" applyProtection="1">
      <alignment horizontal="center" vertical="center"/>
      <protection locked="0"/>
    </xf>
    <xf numFmtId="176" fontId="3" fillId="0" borderId="34" xfId="3" applyNumberFormat="1" applyFont="1" applyBorder="1" applyAlignment="1" applyProtection="1">
      <alignment horizontal="center" vertical="center"/>
      <protection locked="0"/>
    </xf>
    <xf numFmtId="176" fontId="3" fillId="4" borderId="14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5" fillId="19" borderId="1" xfId="0" applyFont="1" applyFill="1" applyBorder="1" applyAlignment="1" applyProtection="1">
      <alignment horizontal="center" vertical="center"/>
      <protection locked="0"/>
    </xf>
    <xf numFmtId="178" fontId="6" fillId="0" borderId="1" xfId="0" applyNumberFormat="1" applyFont="1" applyBorder="1" applyAlignment="1" applyProtection="1">
      <alignment horizontal="center" vertical="center"/>
      <protection locked="0"/>
    </xf>
    <xf numFmtId="17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2" applyFont="1" applyBorder="1" applyAlignment="1" applyProtection="1">
      <alignment horizontal="center" vertical="center"/>
      <protection locked="0"/>
    </xf>
    <xf numFmtId="0" fontId="3" fillId="5" borderId="0" xfId="4" applyFont="1" applyFill="1" applyAlignment="1">
      <alignment horizontal="center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58" fontId="0" fillId="0" borderId="16" xfId="0" applyNumberForma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13" fillId="18" borderId="14" xfId="0" applyFont="1" applyFill="1" applyBorder="1" applyAlignment="1" applyProtection="1">
      <alignment horizontal="center" vertical="center" wrapText="1"/>
      <protection locked="0"/>
    </xf>
    <xf numFmtId="0" fontId="13" fillId="18" borderId="15" xfId="0" applyFont="1" applyFill="1" applyBorder="1" applyAlignment="1" applyProtection="1">
      <alignment horizontal="center" vertical="center" wrapText="1"/>
      <protection locked="0"/>
    </xf>
    <xf numFmtId="0" fontId="13" fillId="18" borderId="60" xfId="0" applyFont="1" applyFill="1" applyBorder="1" applyAlignment="1">
      <alignment horizontal="center" vertical="center" wrapText="1"/>
    </xf>
    <xf numFmtId="0" fontId="13" fillId="18" borderId="61" xfId="0" applyFont="1" applyFill="1" applyBorder="1" applyAlignment="1">
      <alignment horizontal="center" vertical="center" wrapText="1"/>
    </xf>
    <xf numFmtId="0" fontId="13" fillId="18" borderId="62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/>
    </xf>
    <xf numFmtId="0" fontId="9" fillId="12" borderId="15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/>
    </xf>
    <xf numFmtId="0" fontId="3" fillId="16" borderId="35" xfId="0" applyFont="1" applyFill="1" applyBorder="1" applyAlignment="1">
      <alignment horizontal="center" vertical="center" wrapText="1"/>
    </xf>
    <xf numFmtId="0" fontId="3" fillId="16" borderId="4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3" fillId="5" borderId="42" xfId="0" applyFont="1" applyFill="1" applyBorder="1" applyAlignment="1">
      <alignment horizontal="center" vertical="center" wrapText="1"/>
    </xf>
    <xf numFmtId="0" fontId="3" fillId="5" borderId="49" xfId="0" applyFont="1" applyFill="1" applyBorder="1" applyAlignment="1">
      <alignment horizontal="center" vertical="center" wrapText="1"/>
    </xf>
    <xf numFmtId="0" fontId="3" fillId="5" borderId="50" xfId="0" applyFont="1" applyFill="1" applyBorder="1" applyAlignment="1">
      <alignment horizontal="center" vertical="center" wrapText="1"/>
    </xf>
    <xf numFmtId="0" fontId="3" fillId="5" borderId="57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3" fillId="5" borderId="54" xfId="0" applyFont="1" applyFill="1" applyBorder="1" applyAlignment="1">
      <alignment horizontal="center" vertical="center"/>
    </xf>
    <xf numFmtId="176" fontId="10" fillId="17" borderId="34" xfId="0" applyNumberFormat="1" applyFont="1" applyFill="1" applyBorder="1" applyAlignment="1" applyProtection="1">
      <alignment horizontal="center" vertical="center" textRotation="255"/>
      <protection locked="0"/>
    </xf>
    <xf numFmtId="176" fontId="10" fillId="17" borderId="35" xfId="0" applyNumberFormat="1" applyFont="1" applyFill="1" applyBorder="1" applyAlignment="1" applyProtection="1">
      <alignment horizontal="center" vertical="center" textRotation="255"/>
      <protection locked="0"/>
    </xf>
    <xf numFmtId="176" fontId="10" fillId="17" borderId="40" xfId="0" applyNumberFormat="1" applyFont="1" applyFill="1" applyBorder="1" applyAlignment="1" applyProtection="1">
      <alignment horizontal="center" vertical="center" textRotation="255"/>
      <protection locked="0"/>
    </xf>
    <xf numFmtId="176" fontId="10" fillId="17" borderId="41" xfId="0" applyNumberFormat="1" applyFont="1" applyFill="1" applyBorder="1" applyAlignment="1" applyProtection="1">
      <alignment horizontal="center" vertical="center" textRotation="255"/>
      <protection locked="0"/>
    </xf>
    <xf numFmtId="176" fontId="10" fillId="17" borderId="58" xfId="0" applyNumberFormat="1" applyFont="1" applyFill="1" applyBorder="1" applyAlignment="1" applyProtection="1">
      <alignment horizontal="center" vertical="center" textRotation="255"/>
      <protection locked="0"/>
    </xf>
    <xf numFmtId="176" fontId="10" fillId="17" borderId="59" xfId="0" applyNumberFormat="1" applyFont="1" applyFill="1" applyBorder="1" applyAlignment="1" applyProtection="1">
      <alignment horizontal="center" vertical="center" textRotation="255"/>
      <protection locked="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left" vertical="center"/>
    </xf>
    <xf numFmtId="0" fontId="6" fillId="0" borderId="17" xfId="0" applyFont="1" applyBorder="1"/>
    <xf numFmtId="0" fontId="6" fillId="0" borderId="18" xfId="0" applyFont="1" applyBorder="1"/>
    <xf numFmtId="0" fontId="3" fillId="2" borderId="14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3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10" borderId="6" xfId="3" applyFont="1" applyFill="1" applyBorder="1" applyAlignment="1">
      <alignment horizontal="center" vertical="center" wrapText="1"/>
    </xf>
    <xf numFmtId="0" fontId="21" fillId="10" borderId="8" xfId="3" applyFill="1" applyBorder="1"/>
    <xf numFmtId="0" fontId="21" fillId="10" borderId="10" xfId="3" applyFill="1" applyBorder="1"/>
    <xf numFmtId="0" fontId="3" fillId="8" borderId="1" xfId="3" applyFont="1" applyFill="1" applyBorder="1" applyAlignment="1">
      <alignment horizontal="center" vertical="center" wrapText="1"/>
    </xf>
    <xf numFmtId="0" fontId="3" fillId="8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3" fillId="6" borderId="3" xfId="4" applyFont="1" applyFill="1" applyBorder="1" applyAlignment="1">
      <alignment horizontal="center" vertical="center" wrapText="1"/>
    </xf>
    <xf numFmtId="0" fontId="3" fillId="6" borderId="4" xfId="4" applyFont="1" applyFill="1" applyBorder="1" applyAlignment="1">
      <alignment horizontal="center" vertical="center" wrapText="1"/>
    </xf>
    <xf numFmtId="0" fontId="3" fillId="6" borderId="5" xfId="4" applyFont="1" applyFill="1" applyBorder="1" applyAlignment="1">
      <alignment horizontal="center" vertical="center" wrapText="1"/>
    </xf>
    <xf numFmtId="0" fontId="3" fillId="6" borderId="3" xfId="4" applyFont="1" applyFill="1" applyBorder="1" applyAlignment="1">
      <alignment horizontal="center" vertical="center"/>
    </xf>
    <xf numFmtId="0" fontId="3" fillId="6" borderId="4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/>
    </xf>
    <xf numFmtId="0" fontId="3" fillId="5" borderId="63" xfId="4" applyFont="1" applyFill="1" applyBorder="1" applyAlignment="1">
      <alignment wrapText="1"/>
    </xf>
    <xf numFmtId="0" fontId="0" fillId="5" borderId="63" xfId="0" applyFill="1" applyBorder="1" applyAlignment="1">
      <alignment wrapText="1"/>
    </xf>
    <xf numFmtId="0" fontId="3" fillId="2" borderId="1" xfId="4" applyFont="1" applyFill="1" applyBorder="1" applyAlignment="1">
      <alignment horizontal="center" vertical="center" wrapText="1"/>
    </xf>
    <xf numFmtId="0" fontId="3" fillId="6" borderId="1" xfId="4" applyFont="1" applyFill="1" applyBorder="1" applyAlignment="1">
      <alignment horizontal="center" vertical="center" wrapText="1"/>
    </xf>
    <xf numFmtId="0" fontId="3" fillId="8" borderId="3" xfId="4" applyFont="1" applyFill="1" applyBorder="1" applyAlignment="1">
      <alignment horizontal="center" vertical="center" wrapText="1"/>
    </xf>
    <xf numFmtId="0" fontId="3" fillId="8" borderId="4" xfId="4" applyFont="1" applyFill="1" applyBorder="1" applyAlignment="1">
      <alignment horizontal="center" vertical="center" wrapText="1"/>
    </xf>
    <xf numFmtId="0" fontId="3" fillId="8" borderId="5" xfId="4" applyFont="1" applyFill="1" applyBorder="1" applyAlignment="1">
      <alignment horizontal="center" vertical="center" wrapText="1"/>
    </xf>
  </cellXfs>
  <cellStyles count="8">
    <cellStyle name="一般" xfId="0" builtinId="0"/>
    <cellStyle name="一般 2" xfId="1" xr:uid="{00000000-0005-0000-0000-000031000000}"/>
    <cellStyle name="一般 2 2" xfId="7" xr:uid="{3F30FDC4-CE88-4C23-A214-AD7A0CC8FA79}"/>
    <cellStyle name="一般 3" xfId="2" xr:uid="{00000000-0005-0000-0000-000032000000}"/>
    <cellStyle name="一般 4" xfId="3" xr:uid="{00000000-0005-0000-0000-000033000000}"/>
    <cellStyle name="一般 4 2" xfId="6" xr:uid="{880F7FE0-E604-4A11-AC9A-A964D17FA818}"/>
    <cellStyle name="一般 5" xfId="4" xr:uid="{00000000-0005-0000-0000-000034000000}"/>
    <cellStyle name="一般 6" xfId="5" xr:uid="{E5BA1B97-81FA-46F7-A855-0CA4B24CDA1B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Cinebench Loop 30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Thermal!$B$10:$B$11</c:f>
              <c:strCache>
                <c:ptCount val="2"/>
                <c:pt idx="0">
                  <c:v>CPU Max Temp (C)</c:v>
                </c:pt>
                <c:pt idx="1">
                  <c:v>CPU Ave Temp (C)</c:v>
                </c:pt>
              </c:strCache>
            </c:strRef>
          </c:cat>
          <c:val>
            <c:numRef>
              <c:f>Thermal!$E$10:$E$11</c:f>
              <c:numCache>
                <c:formatCode>0.0_);[Red]\(0.0\)</c:formatCode>
                <c:ptCount val="2"/>
                <c:pt idx="0">
                  <c:v>58.98</c:v>
                </c:pt>
                <c:pt idx="1">
                  <c:v>53.72038793103448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F-43E8-A46E-4B5FDA7A148A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Thermal!$B$10:$B$11</c:f>
              <c:strCache>
                <c:ptCount val="2"/>
                <c:pt idx="0">
                  <c:v>CPU Max Temp (C)</c:v>
                </c:pt>
                <c:pt idx="1">
                  <c:v>CPU Ave Temp (C)</c:v>
                </c:pt>
              </c:strCache>
            </c:strRef>
          </c:cat>
          <c:val>
            <c:numRef>
              <c:f>Thermal!$G$10:$G$11</c:f>
              <c:numCache>
                <c:formatCode>0.0_);[Red]\(0.0\)</c:formatCode>
                <c:ptCount val="2"/>
                <c:pt idx="0">
                  <c:v>61.39</c:v>
                </c:pt>
                <c:pt idx="1">
                  <c:v>55.278472727272735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F-43E8-A46E-4B5FDA7A14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8144"/>
        <c:axId val="628719984"/>
      </c:barChart>
      <c:catAx>
        <c:axId val="62872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19984"/>
        <c:crosses val="autoZero"/>
        <c:auto val="1"/>
        <c:lblAlgn val="ctr"/>
        <c:lblOffset val="100"/>
        <c:noMultiLvlLbl val="0"/>
      </c:catAx>
      <c:valAx>
        <c:axId val="62871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2ae80b-f2d6-4fe0-9f6e-07633c0ab72d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Cinebench Loop 30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Thermal!$B$7:$B$8</c:f>
              <c:strCache>
                <c:ptCount val="2"/>
                <c:pt idx="0">
                  <c:v>CPU Max clock (MHz)</c:v>
                </c:pt>
                <c:pt idx="1">
                  <c:v>CPU Ave clock (MHz)</c:v>
                </c:pt>
              </c:strCache>
            </c:strRef>
          </c:cat>
          <c:val>
            <c:numRef>
              <c:f>Thermal!$E$7:$E$8</c:f>
              <c:numCache>
                <c:formatCode>0.0_);[Red]\(0.0\)</c:formatCode>
                <c:ptCount val="2"/>
                <c:pt idx="0">
                  <c:v>483.04</c:v>
                </c:pt>
                <c:pt idx="1">
                  <c:v>92.567068965517237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C-4DE2-B071-8FFC25CB4A8A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Thermal!$B$7:$B$8</c:f>
              <c:strCache>
                <c:ptCount val="2"/>
                <c:pt idx="0">
                  <c:v>CPU Max clock (MHz)</c:v>
                </c:pt>
                <c:pt idx="1">
                  <c:v>CPU Ave clock (MHz)</c:v>
                </c:pt>
              </c:strCache>
            </c:strRef>
          </c:cat>
          <c:val>
            <c:numRef>
              <c:f>Thermal!$G$7:$G$8</c:f>
              <c:numCache>
                <c:formatCode>0.0_);[Red]\(0.0\)</c:formatCode>
                <c:ptCount val="2"/>
                <c:pt idx="0">
                  <c:v>444.14</c:v>
                </c:pt>
                <c:pt idx="1">
                  <c:v>113.50463636363638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C-4DE2-B071-8FFC25CB4A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2160"/>
        <c:axId val="628730320"/>
      </c:barChart>
      <c:catAx>
        <c:axId val="62872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30320"/>
        <c:crosses val="autoZero"/>
        <c:auto val="1"/>
        <c:lblAlgn val="ctr"/>
        <c:lblOffset val="100"/>
        <c:noMultiLvlLbl val="0"/>
      </c:catAx>
      <c:valAx>
        <c:axId val="62873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2e4c09-104f-41f0-a0bb-ae7efd1c07bd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Heaven (60 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Thermal!$B$121:$B$122</c:f>
              <c:strCache>
                <c:ptCount val="2"/>
                <c:pt idx="0">
                  <c:v>GPU Max Temp (C)</c:v>
                </c:pt>
                <c:pt idx="1">
                  <c:v>GPU Ave Temp (C)</c:v>
                </c:pt>
              </c:strCache>
            </c:strRef>
          </c:cat>
          <c:val>
            <c:numRef>
              <c:f>Thermal!$E$121:$E$122</c:f>
              <c:numCache>
                <c:formatCode>0.0_);[Red]\(0.0\)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A772-4ABF-8B2F-337602ADA902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Thermal!$B$121:$B$122</c:f>
              <c:strCache>
                <c:ptCount val="2"/>
                <c:pt idx="0">
                  <c:v>GPU Max Temp (C)</c:v>
                </c:pt>
                <c:pt idx="1">
                  <c:v>GPU Ave Temp (C)</c:v>
                </c:pt>
              </c:strCache>
            </c:strRef>
          </c:cat>
          <c:val>
            <c:numRef>
              <c:f>Thermal!$G$121:$G$122</c:f>
              <c:numCache>
                <c:formatCode>0.0_);[Red]\(0.0\)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A772-4ABF-8B2F-337602ADA9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3792"/>
        <c:axId val="628724336"/>
      </c:barChart>
      <c:catAx>
        <c:axId val="62872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4336"/>
        <c:crosses val="autoZero"/>
        <c:auto val="1"/>
        <c:lblAlgn val="ctr"/>
        <c:lblOffset val="100"/>
        <c:noMultiLvlLbl val="0"/>
      </c:catAx>
      <c:valAx>
        <c:axId val="62872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dd6583-ea5d-4ff2-8864-13c48de54db8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Heaven (60 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Thermal!$B$118:$B$119</c:f>
              <c:strCache>
                <c:ptCount val="2"/>
                <c:pt idx="0">
                  <c:v>GPU Max clock (MHz)</c:v>
                </c:pt>
                <c:pt idx="1">
                  <c:v>GPU Ave clock (MHz)</c:v>
                </c:pt>
              </c:strCache>
            </c:strRef>
          </c:cat>
          <c:val>
            <c:numRef>
              <c:f>Thermal!$E$118:$E$119</c:f>
              <c:numCache>
                <c:formatCode>0.0_);[Red]\(0.0\)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B823-421C-AEFD-7FBEDD8E4CE2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Thermal!$B$118:$B$119</c:f>
              <c:strCache>
                <c:ptCount val="2"/>
                <c:pt idx="0">
                  <c:v>GPU Max clock (MHz)</c:v>
                </c:pt>
                <c:pt idx="1">
                  <c:v>GPU Ave clock (MHz)</c:v>
                </c:pt>
              </c:strCache>
            </c:strRef>
          </c:cat>
          <c:val>
            <c:numRef>
              <c:f>Thermal!$G$118:$G$119</c:f>
              <c:numCache>
                <c:formatCode>0.0_);[Red]\(0.0\)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B823-421C-AEFD-7FBEDD8E4C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4880"/>
        <c:axId val="628731952"/>
      </c:barChart>
      <c:catAx>
        <c:axId val="62872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31952"/>
        <c:crosses val="autoZero"/>
        <c:auto val="1"/>
        <c:lblAlgn val="ctr"/>
        <c:lblOffset val="100"/>
        <c:noMultiLvlLbl val="0"/>
      </c:catAx>
      <c:valAx>
        <c:axId val="62873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1f0b89-0f0b-4d36-8e74-a98a0b6423ab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Prime95 (60 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Thermal!$B$132:$B$133</c:f>
              <c:strCache>
                <c:ptCount val="2"/>
                <c:pt idx="0">
                  <c:v>CPU Max Temp (C)</c:v>
                </c:pt>
                <c:pt idx="1">
                  <c:v>CPU Ave Temp (C)</c:v>
                </c:pt>
              </c:strCache>
            </c:strRef>
          </c:cat>
          <c:val>
            <c:numRef>
              <c:f>Thermal!$E$132:$E$133</c:f>
              <c:numCache>
                <c:formatCode>0.0_);[Red]\(0.0\)</c:formatCode>
                <c:ptCount val="2"/>
                <c:pt idx="0">
                  <c:v>76.574999999999989</c:v>
                </c:pt>
                <c:pt idx="1">
                  <c:v>75.953964000000056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8-4550-B40C-00B924B1DBEF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Thermal!$B$132:$B$133</c:f>
              <c:strCache>
                <c:ptCount val="2"/>
                <c:pt idx="0">
                  <c:v>CPU Max Temp (C)</c:v>
                </c:pt>
                <c:pt idx="1">
                  <c:v>CPU Ave Temp (C)</c:v>
                </c:pt>
              </c:strCache>
            </c:strRef>
          </c:cat>
          <c:val>
            <c:numRef>
              <c:f>Thermal!$G$132:$G$133</c:f>
              <c:numCache>
                <c:formatCode>0.0_);[Red]\(0.0\)</c:formatCode>
                <c:ptCount val="2"/>
                <c:pt idx="0">
                  <c:v>94.734000000000009</c:v>
                </c:pt>
                <c:pt idx="1">
                  <c:v>93.716002000000074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8-4550-B40C-00B924B1DB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18896"/>
        <c:axId val="628733040"/>
      </c:barChart>
      <c:catAx>
        <c:axId val="62871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33040"/>
        <c:crosses val="autoZero"/>
        <c:auto val="1"/>
        <c:lblAlgn val="ctr"/>
        <c:lblOffset val="100"/>
        <c:noMultiLvlLbl val="0"/>
      </c:catAx>
      <c:valAx>
        <c:axId val="6287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1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98f387-c5c5-4982-82db-0c512a3878f7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Prime95 (60 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Thermal!$B$129:$B$130</c:f>
              <c:strCache>
                <c:ptCount val="2"/>
                <c:pt idx="0">
                  <c:v>CPU Max clock (MHz)</c:v>
                </c:pt>
                <c:pt idx="1">
                  <c:v>CPU Ave clock (MHz)</c:v>
                </c:pt>
              </c:strCache>
            </c:strRef>
          </c:cat>
          <c:val>
            <c:numRef>
              <c:f>Thermal!$E$129:$E$130</c:f>
              <c:numCache>
                <c:formatCode>0.0_);[Red]\(0.0\)</c:formatCode>
                <c:ptCount val="2"/>
                <c:pt idx="0">
                  <c:v>3.149</c:v>
                </c:pt>
                <c:pt idx="1">
                  <c:v>3.1086180000000034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B-4C50-9BD4-FFEC1AB7EB62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Thermal!$B$129:$B$130</c:f>
              <c:strCache>
                <c:ptCount val="2"/>
                <c:pt idx="0">
                  <c:v>CPU Max clock (MHz)</c:v>
                </c:pt>
                <c:pt idx="1">
                  <c:v>CPU Ave clock (MHz)</c:v>
                </c:pt>
              </c:strCache>
            </c:strRef>
          </c:cat>
          <c:val>
            <c:numRef>
              <c:f>Thermal!$G$129:$G$130</c:f>
              <c:numCache>
                <c:formatCode>0.0_);[Red]\(0.0\)</c:formatCode>
                <c:ptCount val="2"/>
                <c:pt idx="0">
                  <c:v>3.9159999999999999</c:v>
                </c:pt>
                <c:pt idx="1">
                  <c:v>3.8796379999999986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B-4C50-9BD4-FFEC1AB7EB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32496"/>
        <c:axId val="628730864"/>
      </c:barChart>
      <c:catAx>
        <c:axId val="62873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30864"/>
        <c:crosses val="autoZero"/>
        <c:auto val="1"/>
        <c:lblAlgn val="ctr"/>
        <c:lblOffset val="100"/>
        <c:noMultiLvlLbl val="0"/>
      </c:catAx>
      <c:valAx>
        <c:axId val="62873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3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0f5ff6-dd54-44de-92da-8e38bca2dfae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Prime95 + FurMark (60 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(Thermal!$B$193:$B$194,Thermal!$B$243:$B$244)</c:f>
              <c:strCache>
                <c:ptCount val="4"/>
                <c:pt idx="0">
                  <c:v>CPU Max Temp (C)</c:v>
                </c:pt>
                <c:pt idx="1">
                  <c:v>CPU Ave Temp (C)</c:v>
                </c:pt>
                <c:pt idx="2">
                  <c:v>GPU Max Temp (C)</c:v>
                </c:pt>
                <c:pt idx="3">
                  <c:v>GPU Ave Temp (C)</c:v>
                </c:pt>
              </c:strCache>
            </c:strRef>
          </c:cat>
          <c:val>
            <c:numRef>
              <c:f>(Thermal!$E$193:$E$194,Thermal!$E$243:$E$244)</c:f>
              <c:numCache>
                <c:formatCode>0.0_);[Red]\(0.0\)</c:formatCode>
                <c:ptCount val="4"/>
                <c:pt idx="0">
                  <c:v>65.334999999999994</c:v>
                </c:pt>
                <c:pt idx="1">
                  <c:v>64.782790000000006</c:v>
                </c:pt>
                <c:pt idx="2">
                  <c:v>66.450999999999993</c:v>
                </c:pt>
                <c:pt idx="3">
                  <c:v>65.876654000000045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D-4449-9187-E17C64DEE6F6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(Thermal!$B$193:$B$194,Thermal!$B$243:$B$244)</c:f>
              <c:strCache>
                <c:ptCount val="4"/>
                <c:pt idx="0">
                  <c:v>CPU Max Temp (C)</c:v>
                </c:pt>
                <c:pt idx="1">
                  <c:v>CPU Ave Temp (C)</c:v>
                </c:pt>
                <c:pt idx="2">
                  <c:v>GPU Max Temp (C)</c:v>
                </c:pt>
                <c:pt idx="3">
                  <c:v>GPU Ave Temp (C)</c:v>
                </c:pt>
              </c:strCache>
            </c:strRef>
          </c:cat>
          <c:val>
            <c:numRef>
              <c:f>(Thermal!$G$193:$G$194,Thermal!$G$243:$G$244)</c:f>
              <c:numCache>
                <c:formatCode>0.0_);[Red]\(0.0\)</c:formatCode>
                <c:ptCount val="4"/>
                <c:pt idx="0">
                  <c:v>74.941999999999993</c:v>
                </c:pt>
                <c:pt idx="1">
                  <c:v>73.303699999999992</c:v>
                </c:pt>
                <c:pt idx="2">
                  <c:v>74.197000000000003</c:v>
                </c:pt>
                <c:pt idx="3">
                  <c:v>73.674106000000009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D-4449-9187-E17C64DEE6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9232"/>
        <c:axId val="628728688"/>
      </c:barChart>
      <c:catAx>
        <c:axId val="62872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8688"/>
        <c:crosses val="autoZero"/>
        <c:auto val="1"/>
        <c:lblAlgn val="ctr"/>
        <c:lblOffset val="100"/>
        <c:noMultiLvlLbl val="0"/>
      </c:catAx>
      <c:valAx>
        <c:axId val="62872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219e34-4a79-45d8-8667-a60d3f814d48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Prime95 + FurMark (60 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(Thermal!$B$190:$B$191,Thermal!$B$240:$B$241)</c:f>
              <c:strCache>
                <c:ptCount val="4"/>
                <c:pt idx="0">
                  <c:v>CPU Max clock (MHz)</c:v>
                </c:pt>
                <c:pt idx="1">
                  <c:v>CPU Ave clock (MHz)</c:v>
                </c:pt>
                <c:pt idx="2">
                  <c:v>GPU Max clock (MHz)</c:v>
                </c:pt>
                <c:pt idx="3">
                  <c:v>GPU Ave clock (MHz)</c:v>
                </c:pt>
              </c:strCache>
            </c:strRef>
          </c:cat>
          <c:val>
            <c:numRef>
              <c:f>(Thermal!$E$190:$E$191,Thermal!$E$240:$E$241)</c:f>
              <c:numCache>
                <c:formatCode>0.0_);[Red]\(0.0\)</c:formatCode>
                <c:ptCount val="4"/>
                <c:pt idx="0">
                  <c:v>1.913</c:v>
                </c:pt>
                <c:pt idx="1">
                  <c:v>1.8986359999999933</c:v>
                </c:pt>
                <c:pt idx="2">
                  <c:v>594.99</c:v>
                </c:pt>
                <c:pt idx="3">
                  <c:v>591.36468000000059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0-41CD-8459-1538FC89FA5F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(Thermal!$B$190:$B$191,Thermal!$B$240:$B$241)</c:f>
              <c:strCache>
                <c:ptCount val="4"/>
                <c:pt idx="0">
                  <c:v>CPU Max clock (MHz)</c:v>
                </c:pt>
                <c:pt idx="1">
                  <c:v>CPU Ave clock (MHz)</c:v>
                </c:pt>
                <c:pt idx="2">
                  <c:v>GPU Max clock (MHz)</c:v>
                </c:pt>
                <c:pt idx="3">
                  <c:v>GPU Ave clock (MHz)</c:v>
                </c:pt>
              </c:strCache>
            </c:strRef>
          </c:cat>
          <c:val>
            <c:numRef>
              <c:f>(Thermal!$G$190:$G$191,Thermal!$G$243:$G$244)</c:f>
              <c:numCache>
                <c:formatCode>0.0_);[Red]\(0.0\)</c:formatCode>
                <c:ptCount val="4"/>
                <c:pt idx="0">
                  <c:v>2.8559999999999999</c:v>
                </c:pt>
                <c:pt idx="1">
                  <c:v>2.7607139999999952</c:v>
                </c:pt>
                <c:pt idx="2">
                  <c:v>74.197000000000003</c:v>
                </c:pt>
                <c:pt idx="3">
                  <c:v>73.674106000000009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0-41CD-8459-1538FC89FA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19440"/>
        <c:axId val="628726512"/>
      </c:barChart>
      <c:catAx>
        <c:axId val="62871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6512"/>
        <c:crosses val="autoZero"/>
        <c:auto val="1"/>
        <c:lblAlgn val="ctr"/>
        <c:lblOffset val="100"/>
        <c:noMultiLvlLbl val="0"/>
      </c:catAx>
      <c:valAx>
        <c:axId val="62872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1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88c343-4017-4b20-869b-7c2a42a8ef9b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Cinebench Loop 30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Thermal!$B$10:$B$11</c:f>
              <c:strCache>
                <c:ptCount val="2"/>
                <c:pt idx="0">
                  <c:v>CPU Max Temp (C)</c:v>
                </c:pt>
                <c:pt idx="1">
                  <c:v>CPU Ave Temp (C)</c:v>
                </c:pt>
              </c:strCache>
            </c:strRef>
          </c:cat>
          <c:val>
            <c:numRef>
              <c:f>Thermal!$E$12:$E$13</c:f>
              <c:numCache>
                <c:formatCode>0.0_);[Red]\(0.0\)</c:formatCode>
                <c:ptCount val="2"/>
                <c:pt idx="0">
                  <c:v>81.018000000000001</c:v>
                </c:pt>
                <c:pt idx="1">
                  <c:v>61.06815517241381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E-4D39-A81B-ED08D21EB48C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Thermal!$B$10:$B$11</c:f>
              <c:strCache>
                <c:ptCount val="2"/>
                <c:pt idx="0">
                  <c:v>CPU Max Temp (C)</c:v>
                </c:pt>
                <c:pt idx="1">
                  <c:v>CPU Ave Temp (C)</c:v>
                </c:pt>
              </c:strCache>
            </c:strRef>
          </c:cat>
          <c:val>
            <c:numRef>
              <c:f>Thermal!$G$12:$G$13</c:f>
              <c:numCache>
                <c:formatCode>0.0_);[Red]\(0.0\)</c:formatCode>
                <c:ptCount val="2"/>
                <c:pt idx="0">
                  <c:v>115.009</c:v>
                </c:pt>
                <c:pt idx="1">
                  <c:v>81.921809090909122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E-4D39-A81B-ED08D21EB4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8144"/>
        <c:axId val="628719984"/>
      </c:barChart>
      <c:catAx>
        <c:axId val="62872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19984"/>
        <c:crosses val="autoZero"/>
        <c:auto val="1"/>
        <c:lblAlgn val="ctr"/>
        <c:lblOffset val="100"/>
        <c:noMultiLvlLbl val="0"/>
      </c:catAx>
      <c:valAx>
        <c:axId val="62871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1c57f4-69aa-49ba-a1ed-f38a41694774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Heaven (60 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Thermal!$B$123:$B$124</c:f>
              <c:strCache>
                <c:ptCount val="2"/>
                <c:pt idx="0">
                  <c:v>GPU Max Power (W)</c:v>
                </c:pt>
                <c:pt idx="1">
                  <c:v>GPU Ave Power (W)</c:v>
                </c:pt>
              </c:strCache>
            </c:strRef>
          </c:cat>
          <c:val>
            <c:numRef>
              <c:f>Thermal!$E$123:$E$124</c:f>
              <c:numCache>
                <c:formatCode>0.0_);[Red]\(0.0\)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3C89-4887-9A2D-3697BC24BB48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Thermal!$B$123:$B$124</c:f>
              <c:strCache>
                <c:ptCount val="2"/>
                <c:pt idx="0">
                  <c:v>GPU Max Power (W)</c:v>
                </c:pt>
                <c:pt idx="1">
                  <c:v>GPU Ave Power (W)</c:v>
                </c:pt>
              </c:strCache>
            </c:strRef>
          </c:cat>
          <c:val>
            <c:numRef>
              <c:f>Thermal!$G$123:$G$124</c:f>
              <c:numCache>
                <c:formatCode>0.0_);[Red]\(0.0\)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3C89-4887-9A2D-3697BC24BB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3792"/>
        <c:axId val="628724336"/>
      </c:barChart>
      <c:catAx>
        <c:axId val="62872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4336"/>
        <c:crosses val="autoZero"/>
        <c:auto val="1"/>
        <c:lblAlgn val="ctr"/>
        <c:lblOffset val="100"/>
        <c:noMultiLvlLbl val="0"/>
      </c:catAx>
      <c:valAx>
        <c:axId val="62872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677278-cf62-49e7-9b32-ecd3a0240cf7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Prime95 (60 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Thermal!$B$134:$B$135</c:f>
              <c:strCache>
                <c:ptCount val="2"/>
                <c:pt idx="0">
                  <c:v>CPU Max Power (W)</c:v>
                </c:pt>
                <c:pt idx="1">
                  <c:v>CPU Ave Power (W)</c:v>
                </c:pt>
              </c:strCache>
            </c:strRef>
          </c:cat>
          <c:val>
            <c:numRef>
              <c:f>Thermal!$E$134:$E$135</c:f>
              <c:numCache>
                <c:formatCode>0.0_);[Red]\(0.0\)</c:formatCode>
                <c:ptCount val="2"/>
                <c:pt idx="0">
                  <c:v>55.186999999999998</c:v>
                </c:pt>
                <c:pt idx="1">
                  <c:v>55.000551999999963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4-4A33-B9E0-06216330AD22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Thermal!$B$134:$B$135</c:f>
              <c:strCache>
                <c:ptCount val="2"/>
                <c:pt idx="0">
                  <c:v>CPU Max Power (W)</c:v>
                </c:pt>
                <c:pt idx="1">
                  <c:v>CPU Ave Power (W)</c:v>
                </c:pt>
              </c:strCache>
            </c:strRef>
          </c:cat>
          <c:val>
            <c:numRef>
              <c:f>Thermal!$G$134:$G$135</c:f>
              <c:numCache>
                <c:formatCode>0.0_);[Red]\(0.0\)</c:formatCode>
                <c:ptCount val="2"/>
                <c:pt idx="0">
                  <c:v>85.742000000000004</c:v>
                </c:pt>
                <c:pt idx="1">
                  <c:v>85.002898000000002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4-4A33-B9E0-06216330AD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18896"/>
        <c:axId val="628733040"/>
      </c:barChart>
      <c:catAx>
        <c:axId val="62871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33040"/>
        <c:crosses val="autoZero"/>
        <c:auto val="1"/>
        <c:lblAlgn val="ctr"/>
        <c:lblOffset val="100"/>
        <c:noMultiLvlLbl val="0"/>
      </c:catAx>
      <c:valAx>
        <c:axId val="6287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1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2e62aa-4bad-48be-b0e8-9bddd3115e64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Prime95 + FurMark (60 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Performance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(Thermal!$B$195:$B$196,Thermal!$B$245:$B$246)</c:f>
              <c:strCache>
                <c:ptCount val="4"/>
                <c:pt idx="0">
                  <c:v>CPU Max Power (W)</c:v>
                </c:pt>
                <c:pt idx="1">
                  <c:v>CPU Ave Power (W)</c:v>
                </c:pt>
                <c:pt idx="2">
                  <c:v>GPU Max Power (W)</c:v>
                </c:pt>
                <c:pt idx="3">
                  <c:v>GPU Ave Power (W)</c:v>
                </c:pt>
              </c:strCache>
            </c:strRef>
          </c:cat>
          <c:val>
            <c:numRef>
              <c:f>(Thermal!$E$195:$E$196,Thermal!$E$245:$E$246)</c:f>
              <c:numCache>
                <c:formatCode>0.0_);[Red]\(0.0\)</c:formatCode>
                <c:ptCount val="4"/>
                <c:pt idx="0">
                  <c:v>56.851999999999997</c:v>
                </c:pt>
                <c:pt idx="1">
                  <c:v>54.950809999999969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0-4DE0-A985-46E77D534D6A}"/>
            </c:ext>
          </c:extLst>
        </c:ser>
        <c:ser>
          <c:idx val="1"/>
          <c:order val="1"/>
          <c:tx>
            <c:v>Turbo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(Thermal!$B$195:$B$196,Thermal!$B$245:$B$246)</c:f>
              <c:strCache>
                <c:ptCount val="4"/>
                <c:pt idx="0">
                  <c:v>CPU Max Power (W)</c:v>
                </c:pt>
                <c:pt idx="1">
                  <c:v>CPU Ave Power (W)</c:v>
                </c:pt>
                <c:pt idx="2">
                  <c:v>GPU Max Power (W)</c:v>
                </c:pt>
                <c:pt idx="3">
                  <c:v>GPU Ave Power (W)</c:v>
                </c:pt>
              </c:strCache>
            </c:strRef>
          </c:cat>
          <c:val>
            <c:numRef>
              <c:f>(Thermal!$G$195:$G$196,Thermal!$G$245:$G$246)</c:f>
              <c:numCache>
                <c:formatCode>0.0_);[Red]\(0.0\)</c:formatCode>
                <c:ptCount val="4"/>
                <c:pt idx="0">
                  <c:v>87.075000000000003</c:v>
                </c:pt>
                <c:pt idx="1">
                  <c:v>85.005353999999997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20-4DE0-A985-46E77D534D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9232"/>
        <c:axId val="628728688"/>
      </c:barChart>
      <c:catAx>
        <c:axId val="62872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8688"/>
        <c:crosses val="autoZero"/>
        <c:auto val="1"/>
        <c:lblAlgn val="ctr"/>
        <c:lblOffset val="100"/>
        <c:noMultiLvlLbl val="0"/>
      </c:catAx>
      <c:valAx>
        <c:axId val="62872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_);[Red]\(0.0\)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187b96-84ec-4753-af46-26e1bc7eeb2d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Keyboard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'Keyboard Temperature'!$C$2</c:f>
              <c:strCache>
                <c:ptCount val="1"/>
                <c:pt idx="0">
                  <c:v>Measure by IR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'Keyboard Temperature'!$B$3:$B$8</c:f>
              <c:strCache>
                <c:ptCount val="6"/>
                <c:pt idx="0">
                  <c:v>E Key</c:v>
                </c:pt>
                <c:pt idx="1">
                  <c:v>F Key</c:v>
                </c:pt>
                <c:pt idx="2">
                  <c:v>G Key</c:v>
                </c:pt>
                <c:pt idx="3">
                  <c:v>R Key</c:v>
                </c:pt>
                <c:pt idx="4">
                  <c:v>F5 Key</c:v>
                </c:pt>
                <c:pt idx="5">
                  <c:v>6 Key</c:v>
                </c:pt>
              </c:strCache>
            </c:strRef>
          </c:cat>
          <c:val>
            <c:numRef>
              <c:f>'Keyboard Temperature'!$C$3:$C$8</c:f>
              <c:numCache>
                <c:formatCode>General</c:formatCode>
                <c:ptCount val="6"/>
                <c:pt idx="0">
                  <c:v>31.8</c:v>
                </c:pt>
                <c:pt idx="1">
                  <c:v>36.200000000000003</c:v>
                </c:pt>
                <c:pt idx="2">
                  <c:v>39.4</c:v>
                </c:pt>
                <c:pt idx="3">
                  <c:v>34.1</c:v>
                </c:pt>
                <c:pt idx="4">
                  <c:v>39.5</c:v>
                </c:pt>
                <c:pt idx="5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9-46C2-9E6D-4218DCF30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28725968"/>
        <c:axId val="628727056"/>
      </c:barChart>
      <c:catAx>
        <c:axId val="62872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7056"/>
        <c:crosses val="autoZero"/>
        <c:auto val="1"/>
        <c:lblAlgn val="ctr"/>
        <c:lblOffset val="100"/>
        <c:noMultiLvlLbl val="0"/>
      </c:catAx>
      <c:valAx>
        <c:axId val="628727056"/>
        <c:scaling>
          <c:orientation val="minMax"/>
          <c:max val="48"/>
          <c:min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Degree Celsius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5968"/>
        <c:crosses val="autoZero"/>
        <c:crossBetween val="between"/>
        <c:majorUnit val="2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575234-9656-488b-8241-50c96446b7b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Life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'Battery life'!$B$3:$B$6</c:f>
              <c:strCache>
                <c:ptCount val="4"/>
                <c:pt idx="0">
                  <c:v>Web browsing</c:v>
                </c:pt>
                <c:pt idx="1">
                  <c:v>Maximum Runtime</c:v>
                </c:pt>
                <c:pt idx="2">
                  <c:v>1080p Video Playback</c:v>
                </c:pt>
                <c:pt idx="3">
                  <c:v>UL Procyon Office productivity</c:v>
                </c:pt>
              </c:strCache>
            </c:strRef>
          </c:cat>
          <c:val>
            <c:numRef>
              <c:f>'Battery life'!$D$3:$D$6</c:f>
              <c:numCache>
                <c:formatCode>0.0</c:formatCode>
                <c:ptCount val="4"/>
                <c:pt idx="0">
                  <c:v>9.3000000000000007</c:v>
                </c:pt>
                <c:pt idx="1">
                  <c:v>18.399999999999999</c:v>
                </c:pt>
                <c:pt idx="2">
                  <c:v>15.6</c:v>
                </c:pt>
                <c:pt idx="3">
                  <c:v>11.116666666666667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6-4893-8134-AC0E21A090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7600"/>
        <c:axId val="627034832"/>
      </c:barChart>
      <c:catAx>
        <c:axId val="62872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7034832"/>
        <c:crosses val="autoZero"/>
        <c:auto val="1"/>
        <c:lblAlgn val="ctr"/>
        <c:lblOffset val="100"/>
        <c:noMultiLvlLbl val="0"/>
      </c:catAx>
      <c:valAx>
        <c:axId val="62703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5b01d92-199a-4647-87a6-dc2eb66ebb5c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Life - AniMe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'Battery life'!$B$10:$B$13</c:f>
              <c:strCache>
                <c:ptCount val="4"/>
                <c:pt idx="0">
                  <c:v>Web browsing</c:v>
                </c:pt>
                <c:pt idx="1">
                  <c:v>Maximum Runtime</c:v>
                </c:pt>
                <c:pt idx="2">
                  <c:v>1080p Video Playback</c:v>
                </c:pt>
                <c:pt idx="3">
                  <c:v>PCMark 10 (Work Mode)</c:v>
                </c:pt>
              </c:strCache>
            </c:strRef>
          </c:cat>
          <c:val>
            <c:numRef>
              <c:f>'Battery life'!$D$10:$D$13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A-4B24-829C-823C738701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8727600"/>
        <c:axId val="627034832"/>
      </c:barChart>
      <c:catAx>
        <c:axId val="62872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7034832"/>
        <c:crosses val="autoZero"/>
        <c:auto val="1"/>
        <c:lblAlgn val="ctr"/>
        <c:lblOffset val="100"/>
        <c:noMultiLvlLbl val="0"/>
      </c:catAx>
      <c:valAx>
        <c:axId val="62703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72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5ff168-7da4-4580-ac9a-10238b482cf6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3DMark Fire Strike -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Performance!$B$3:$B$6</c:f>
              <c:strCache>
                <c:ptCount val="4"/>
                <c:pt idx="0">
                  <c:v>Fire Strike Score</c:v>
                </c:pt>
                <c:pt idx="1">
                  <c:v>Graphics Score</c:v>
                </c:pt>
                <c:pt idx="2">
                  <c:v>Physics Score</c:v>
                </c:pt>
                <c:pt idx="3">
                  <c:v>Combined Score</c:v>
                </c:pt>
              </c:strCache>
            </c:strRef>
          </c:cat>
          <c:val>
            <c:numRef>
              <c:f>Performance!$G$3:$G$6</c:f>
              <c:numCache>
                <c:formatCode>0</c:formatCode>
                <c:ptCount val="4"/>
                <c:pt idx="0">
                  <c:v>22187</c:v>
                </c:pt>
                <c:pt idx="1">
                  <c:v>25024.333333333332</c:v>
                </c:pt>
                <c:pt idx="2">
                  <c:v>33022.666666666664</c:v>
                </c:pt>
                <c:pt idx="3">
                  <c:v>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A-4AF2-80CD-F9F72B2047D8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Performance!$B$3:$B$6</c:f>
              <c:strCache>
                <c:ptCount val="4"/>
                <c:pt idx="0">
                  <c:v>Fire Strike Score</c:v>
                </c:pt>
                <c:pt idx="1">
                  <c:v>Graphics Score</c:v>
                </c:pt>
                <c:pt idx="2">
                  <c:v>Physics Score</c:v>
                </c:pt>
                <c:pt idx="3">
                  <c:v>Combined Score</c:v>
                </c:pt>
              </c:strCache>
            </c:strRef>
          </c:cat>
          <c:val>
            <c:numRef>
              <c:f>Performance!$L$3:$L$6</c:f>
              <c:numCache>
                <c:formatCode>0</c:formatCode>
                <c:ptCount val="4"/>
                <c:pt idx="0">
                  <c:v>23209</c:v>
                </c:pt>
                <c:pt idx="1">
                  <c:v>26006.333333333332</c:v>
                </c:pt>
                <c:pt idx="2">
                  <c:v>34638.666666666664</c:v>
                </c:pt>
                <c:pt idx="3">
                  <c:v>10087.666666666666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A-4AF2-80CD-F9F72B2047D8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Performance!$B$3:$B$6</c:f>
              <c:strCache>
                <c:ptCount val="4"/>
                <c:pt idx="0">
                  <c:v>Fire Strike Score</c:v>
                </c:pt>
                <c:pt idx="1">
                  <c:v>Graphics Score</c:v>
                </c:pt>
                <c:pt idx="2">
                  <c:v>Physics Score</c:v>
                </c:pt>
                <c:pt idx="3">
                  <c:v>Combined Score</c:v>
                </c:pt>
              </c:strCache>
            </c:strRef>
          </c:cat>
          <c:val>
            <c:numRef>
              <c:f>Performance!$Q$3:$Q$6</c:f>
              <c:numCache>
                <c:formatCode>0</c:formatCode>
                <c:ptCount val="4"/>
                <c:pt idx="0">
                  <c:v>24969.333333333332</c:v>
                </c:pt>
                <c:pt idx="1">
                  <c:v>27766</c:v>
                </c:pt>
                <c:pt idx="2">
                  <c:v>35805</c:v>
                </c:pt>
                <c:pt idx="3">
                  <c:v>11304.333333333334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A-4AF2-80CD-F9F72B2047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627020144"/>
        <c:axId val="830297952"/>
      </c:barChart>
      <c:catAx>
        <c:axId val="62702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7952"/>
        <c:crosses val="autoZero"/>
        <c:auto val="1"/>
        <c:lblAlgn val="ctr"/>
        <c:lblOffset val="100"/>
        <c:noMultiLvlLbl val="0"/>
      </c:catAx>
      <c:valAx>
        <c:axId val="8302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702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0bb1c7-ea16-42f0-9fb6-6891793f072d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3DMark Port Royal -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Performance!$B$8</c:f>
              <c:strCache>
                <c:ptCount val="1"/>
                <c:pt idx="0">
                  <c:v>Port Royal Score</c:v>
                </c:pt>
              </c:strCache>
            </c:strRef>
          </c:cat>
          <c:val>
            <c:numRef>
              <c:f>Performance!$G$8</c:f>
              <c:numCache>
                <c:formatCode>0</c:formatCode>
                <c:ptCount val="1"/>
                <c:pt idx="0">
                  <c:v>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6-4E4D-B9B4-44CCB0A8D444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Performance!$B$8</c:f>
              <c:strCache>
                <c:ptCount val="1"/>
                <c:pt idx="0">
                  <c:v>Port Royal Score</c:v>
                </c:pt>
              </c:strCache>
            </c:strRef>
          </c:cat>
          <c:val>
            <c:numRef>
              <c:f>Performance!$L$8</c:f>
              <c:numCache>
                <c:formatCode>0</c:formatCode>
                <c:ptCount val="1"/>
                <c:pt idx="0">
                  <c:v>4444.666666666667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6-4E4D-B9B4-44CCB0A8D444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Performance!$B$8</c:f>
              <c:strCache>
                <c:ptCount val="1"/>
                <c:pt idx="0">
                  <c:v>Port Royal Score</c:v>
                </c:pt>
              </c:strCache>
            </c:strRef>
          </c:cat>
          <c:val>
            <c:numRef>
              <c:f>Performance!$Q$8</c:f>
              <c:numCache>
                <c:formatCode>0</c:formatCode>
                <c:ptCount val="1"/>
                <c:pt idx="0">
                  <c:v>4617.333333333333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A6-4E4D-B9B4-44CCB0A8D4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5776"/>
        <c:axId val="830301760"/>
      </c:barChart>
      <c:catAx>
        <c:axId val="83029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1760"/>
        <c:crosses val="autoZero"/>
        <c:auto val="1"/>
        <c:lblAlgn val="ctr"/>
        <c:lblOffset val="100"/>
        <c:noMultiLvlLbl val="0"/>
      </c:catAx>
      <c:valAx>
        <c:axId val="83030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ed2e33-c285-41f6-b147-d0af6b409efd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3DMark Time Spy -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Performance!$B$11:$B$13</c:f>
              <c:strCache>
                <c:ptCount val="3"/>
                <c:pt idx="0">
                  <c:v>Time Spy Score</c:v>
                </c:pt>
                <c:pt idx="1">
                  <c:v>Graphics Score</c:v>
                </c:pt>
                <c:pt idx="2">
                  <c:v>CPU Score</c:v>
                </c:pt>
              </c:strCache>
            </c:strRef>
          </c:cat>
          <c:val>
            <c:numRef>
              <c:f>Performance!$G$11:$G$13</c:f>
              <c:numCache>
                <c:formatCode>0</c:formatCode>
                <c:ptCount val="3"/>
                <c:pt idx="0">
                  <c:v>9547</c:v>
                </c:pt>
                <c:pt idx="1">
                  <c:v>9507.6666666666661</c:v>
                </c:pt>
                <c:pt idx="2">
                  <c:v>9781.3333333333339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E-45CD-99D0-28DE0DAD2394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Performance!$B$11:$B$13</c:f>
              <c:strCache>
                <c:ptCount val="3"/>
                <c:pt idx="0">
                  <c:v>Time Spy Score</c:v>
                </c:pt>
                <c:pt idx="1">
                  <c:v>Graphics Score</c:v>
                </c:pt>
                <c:pt idx="2">
                  <c:v>CPU Score</c:v>
                </c:pt>
              </c:strCache>
            </c:strRef>
          </c:cat>
          <c:val>
            <c:numRef>
              <c:f>Performance!$L$11:$L$13</c:f>
              <c:numCache>
                <c:formatCode>0</c:formatCode>
                <c:ptCount val="3"/>
                <c:pt idx="0">
                  <c:v>9988.3333333333339</c:v>
                </c:pt>
                <c:pt idx="1">
                  <c:v>9969.3333333333339</c:v>
                </c:pt>
                <c:pt idx="2">
                  <c:v>10103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6E-45CD-99D0-28DE0DAD2394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Performance!$B$11:$B$13</c:f>
              <c:strCache>
                <c:ptCount val="3"/>
                <c:pt idx="0">
                  <c:v>Time Spy Score</c:v>
                </c:pt>
                <c:pt idx="1">
                  <c:v>Graphics Score</c:v>
                </c:pt>
                <c:pt idx="2">
                  <c:v>CPU Score</c:v>
                </c:pt>
              </c:strCache>
            </c:strRef>
          </c:cat>
          <c:val>
            <c:numRef>
              <c:f>Performance!$Q$11:$Q$13</c:f>
              <c:numCache>
                <c:formatCode>0</c:formatCode>
                <c:ptCount val="3"/>
                <c:pt idx="0">
                  <c:v>10837.666666666666</c:v>
                </c:pt>
                <c:pt idx="1">
                  <c:v>10915.666666666666</c:v>
                </c:pt>
                <c:pt idx="2">
                  <c:v>10419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6E-45CD-99D0-28DE0DAD23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308832"/>
        <c:axId val="830302304"/>
      </c:barChart>
      <c:catAx>
        <c:axId val="83030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2304"/>
        <c:crosses val="autoZero"/>
        <c:auto val="1"/>
        <c:lblAlgn val="ctr"/>
        <c:lblOffset val="100"/>
        <c:noMultiLvlLbl val="0"/>
      </c:catAx>
      <c:valAx>
        <c:axId val="83030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b8708e-4393-487d-bf26-3757380b27aa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Aida64 - CPU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(Performance!$B$23,Performance!#REF!)</c:f>
            </c:multiLvlStrRef>
          </c:cat>
          <c:val>
            <c:numRef>
              <c:f>Performance!$G$23:$G$23</c:f>
              <c:numCache>
                <c:formatCode>0</c:formatCode>
                <c:ptCount val="1"/>
                <c:pt idx="0">
                  <c:v>88039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F-4606-B67F-33359F624111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(Performance!$B$23,Performance!#REF!)</c:f>
            </c:multiLvlStrRef>
          </c:cat>
          <c:val>
            <c:numRef>
              <c:f>Performance!$L$23:$L$23</c:f>
              <c:numCache>
                <c:formatCode>0</c:formatCode>
                <c:ptCount val="1"/>
                <c:pt idx="0">
                  <c:v>90029.666666666672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F-4606-B67F-33359F624111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(Performance!$B$23,Performance!#REF!)</c:f>
            </c:multiLvlStrRef>
          </c:cat>
          <c:val>
            <c:numRef>
              <c:f>Performance!$Q$23:$Q$23</c:f>
              <c:numCache>
                <c:formatCode>0</c:formatCode>
                <c:ptCount val="1"/>
                <c:pt idx="0">
                  <c:v>92295.333333333328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F-4606-B67F-33359F6241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307200"/>
        <c:axId val="830298496"/>
      </c:barChart>
      <c:catAx>
        <c:axId val="83030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8496"/>
        <c:crosses val="autoZero"/>
        <c:auto val="1"/>
        <c:lblAlgn val="ctr"/>
        <c:lblOffset val="100"/>
        <c:noMultiLvlLbl val="0"/>
      </c:catAx>
      <c:valAx>
        <c:axId val="83029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46d482-5245-4260-86c6-28bcc8647bde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Aida64 - Memory Bandwidth -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(Performance!$B$24,Performance!$B$25,Performance!$B$26)</c:f>
              <c:strCache>
                <c:ptCount val="3"/>
                <c:pt idx="0">
                  <c:v>Memory Read (MB/s)</c:v>
                </c:pt>
                <c:pt idx="1">
                  <c:v>Memory Write (MB/s)</c:v>
                </c:pt>
                <c:pt idx="2">
                  <c:v>Memory Copy (MB/s)</c:v>
                </c:pt>
              </c:strCache>
            </c:strRef>
          </c:cat>
          <c:val>
            <c:numRef>
              <c:f>(Performance!$G$24,Performance!$G$25,Performance!$G$26)</c:f>
              <c:numCache>
                <c:formatCode>0</c:formatCode>
                <c:ptCount val="3"/>
                <c:pt idx="0">
                  <c:v>123057.33333333333</c:v>
                </c:pt>
                <c:pt idx="1">
                  <c:v>214704.33333333334</c:v>
                </c:pt>
                <c:pt idx="2">
                  <c:v>153325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1-4108-82F4-BBAB22213715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(Performance!$B$24,Performance!$B$25,Performance!$B$26)</c:f>
              <c:strCache>
                <c:ptCount val="3"/>
                <c:pt idx="0">
                  <c:v>Memory Read (MB/s)</c:v>
                </c:pt>
                <c:pt idx="1">
                  <c:v>Memory Write (MB/s)</c:v>
                </c:pt>
                <c:pt idx="2">
                  <c:v>Memory Copy (MB/s)</c:v>
                </c:pt>
              </c:strCache>
            </c:strRef>
          </c:cat>
          <c:val>
            <c:numRef>
              <c:f>(Performance!$L$24,Performance!$L$25,Performance!$L$26)</c:f>
              <c:numCache>
                <c:formatCode>0</c:formatCode>
                <c:ptCount val="3"/>
                <c:pt idx="0">
                  <c:v>123672.33333333333</c:v>
                </c:pt>
                <c:pt idx="1">
                  <c:v>215009</c:v>
                </c:pt>
                <c:pt idx="2">
                  <c:v>153800.33333333334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11-4108-82F4-BBAB22213715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(Performance!$B$24,Performance!$B$25,Performance!$B$26)</c:f>
              <c:strCache>
                <c:ptCount val="3"/>
                <c:pt idx="0">
                  <c:v>Memory Read (MB/s)</c:v>
                </c:pt>
                <c:pt idx="1">
                  <c:v>Memory Write (MB/s)</c:v>
                </c:pt>
                <c:pt idx="2">
                  <c:v>Memory Copy (MB/s)</c:v>
                </c:pt>
              </c:strCache>
            </c:strRef>
          </c:cat>
          <c:val>
            <c:numRef>
              <c:f>(Performance!$Q$24,Performance!$Q$25,Performance!$Q$26)</c:f>
              <c:numCache>
                <c:formatCode>0</c:formatCode>
                <c:ptCount val="3"/>
                <c:pt idx="0">
                  <c:v>123524.33333333333</c:v>
                </c:pt>
                <c:pt idx="1">
                  <c:v>215109.66666666666</c:v>
                </c:pt>
                <c:pt idx="2">
                  <c:v>153376.66666666666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11-4108-82F4-BBAB222137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302848"/>
        <c:axId val="830304480"/>
      </c:barChart>
      <c:catAx>
        <c:axId val="83030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4480"/>
        <c:crosses val="autoZero"/>
        <c:auto val="1"/>
        <c:lblAlgn val="ctr"/>
        <c:lblOffset val="100"/>
        <c:noMultiLvlLbl val="0"/>
      </c:catAx>
      <c:valAx>
        <c:axId val="83030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c82a9f-d4e8-4930-9809-9cd5ba13da7f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Aida64 - Memory Latency -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Performance!$B$27</c:f>
              <c:strCache>
                <c:ptCount val="1"/>
                <c:pt idx="0">
                  <c:v>Memory Latency (ns)</c:v>
                </c:pt>
              </c:strCache>
            </c:strRef>
          </c:cat>
          <c:val>
            <c:numRef>
              <c:f>Performance!$G$27</c:f>
              <c:numCache>
                <c:formatCode>0</c:formatCode>
                <c:ptCount val="1"/>
                <c:pt idx="0">
                  <c:v>141.79999999999998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E-44BF-91FD-44CF36C7D4F5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Performance!$B$27</c:f>
              <c:strCache>
                <c:ptCount val="1"/>
                <c:pt idx="0">
                  <c:v>Memory Latency (ns)</c:v>
                </c:pt>
              </c:strCache>
            </c:strRef>
          </c:cat>
          <c:val>
            <c:numRef>
              <c:f>Performance!$L$27</c:f>
              <c:numCache>
                <c:formatCode>0</c:formatCode>
                <c:ptCount val="1"/>
                <c:pt idx="0">
                  <c:v>140.56666666666666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E-44BF-91FD-44CF36C7D4F5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Performance!$B$27</c:f>
              <c:strCache>
                <c:ptCount val="1"/>
                <c:pt idx="0">
                  <c:v>Memory Latency (ns)</c:v>
                </c:pt>
              </c:strCache>
            </c:strRef>
          </c:cat>
          <c:val>
            <c:numRef>
              <c:f>Performance!$Q$27</c:f>
              <c:numCache>
                <c:formatCode>0</c:formatCode>
                <c:ptCount val="1"/>
                <c:pt idx="0">
                  <c:v>139.13333333333333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6E-44BF-91FD-44CF36C7D4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300672"/>
        <c:axId val="830297408"/>
      </c:barChart>
      <c:catAx>
        <c:axId val="83030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7408"/>
        <c:crosses val="autoZero"/>
        <c:auto val="1"/>
        <c:lblAlgn val="ctr"/>
        <c:lblOffset val="100"/>
        <c:noMultiLvlLbl val="0"/>
      </c:catAx>
      <c:valAx>
        <c:axId val="83029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4f136c-9161-4e39-9ba4-857467946ba4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CrystalDiskMark Main - Sequential I/O -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(Performance!$B$29,Performance!$B$30,Performance!$B$31,Performance!$B$32)</c:f>
              <c:strCache>
                <c:ptCount val="4"/>
                <c:pt idx="0">
                  <c:v>SEQ 1MiB (Q= 8, T= 1)-Read (MB)</c:v>
                </c:pt>
                <c:pt idx="1">
                  <c:v>SEQ 1MiB (Q= 8, T= 1)-Write (MB)</c:v>
                </c:pt>
                <c:pt idx="2">
                  <c:v>SEQ 1MiB (Q= 1, T= 1)-Read (MB)</c:v>
                </c:pt>
                <c:pt idx="3">
                  <c:v>SEQ 1MiB (Q= 1, T= 1)-Write (MB)</c:v>
                </c:pt>
              </c:strCache>
            </c:strRef>
          </c:cat>
          <c:val>
            <c:numRef>
              <c:f>(Performance!$G$29,Performance!$G$30,Performance!$G$31,Performance!$G$32)</c:f>
              <c:numCache>
                <c:formatCode>0</c:formatCode>
                <c:ptCount val="4"/>
                <c:pt idx="0">
                  <c:v>6156.6000000000013</c:v>
                </c:pt>
                <c:pt idx="1">
                  <c:v>5380.3</c:v>
                </c:pt>
                <c:pt idx="2">
                  <c:v>3182.2333333333336</c:v>
                </c:pt>
                <c:pt idx="3">
                  <c:v>4386.8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0-4C59-B9FF-6F68170134D0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(Performance!$B$29,Performance!$B$30,Performance!$B$31,Performance!$B$32)</c:f>
              <c:strCache>
                <c:ptCount val="4"/>
                <c:pt idx="0">
                  <c:v>SEQ 1MiB (Q= 8, T= 1)-Read (MB)</c:v>
                </c:pt>
                <c:pt idx="1">
                  <c:v>SEQ 1MiB (Q= 8, T= 1)-Write (MB)</c:v>
                </c:pt>
                <c:pt idx="2">
                  <c:v>SEQ 1MiB (Q= 1, T= 1)-Read (MB)</c:v>
                </c:pt>
                <c:pt idx="3">
                  <c:v>SEQ 1MiB (Q= 1, T= 1)-Write (MB)</c:v>
                </c:pt>
              </c:strCache>
            </c:strRef>
          </c:cat>
          <c:val>
            <c:numRef>
              <c:f>(Performance!$L$29,Performance!$L$30,Performance!$L$31,Performance!$L$32)</c:f>
              <c:numCache>
                <c:formatCode>0</c:formatCode>
                <c:ptCount val="4"/>
                <c:pt idx="0">
                  <c:v>6092.5333333333338</c:v>
                </c:pt>
                <c:pt idx="1">
                  <c:v>5378.833333333333</c:v>
                </c:pt>
                <c:pt idx="2">
                  <c:v>3225.1333333333332</c:v>
                </c:pt>
                <c:pt idx="3">
                  <c:v>4465.9333333333334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0-4C59-B9FF-6F68170134D0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(Performance!$B$29,Performance!$B$30,Performance!$B$31,Performance!$B$32)</c:f>
              <c:strCache>
                <c:ptCount val="4"/>
                <c:pt idx="0">
                  <c:v>SEQ 1MiB (Q= 8, T= 1)-Read (MB)</c:v>
                </c:pt>
                <c:pt idx="1">
                  <c:v>SEQ 1MiB (Q= 8, T= 1)-Write (MB)</c:v>
                </c:pt>
                <c:pt idx="2">
                  <c:v>SEQ 1MiB (Q= 1, T= 1)-Read (MB)</c:v>
                </c:pt>
                <c:pt idx="3">
                  <c:v>SEQ 1MiB (Q= 1, T= 1)-Write (MB)</c:v>
                </c:pt>
              </c:strCache>
            </c:strRef>
          </c:cat>
          <c:val>
            <c:numRef>
              <c:f>(Performance!$Q$29,Performance!$Q$30,Performance!$Q$31,Performance!$Q$32)</c:f>
              <c:numCache>
                <c:formatCode>0</c:formatCode>
                <c:ptCount val="4"/>
                <c:pt idx="0">
                  <c:v>6146.9000000000005</c:v>
                </c:pt>
                <c:pt idx="1">
                  <c:v>5382.2333333333336</c:v>
                </c:pt>
                <c:pt idx="2">
                  <c:v>3224.1</c:v>
                </c:pt>
                <c:pt idx="3">
                  <c:v>4464.5666666666666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0-4C59-B9FF-6F68170134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301216"/>
        <c:axId val="830294688"/>
      </c:barChart>
      <c:catAx>
        <c:axId val="83030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4688"/>
        <c:crosses val="autoZero"/>
        <c:auto val="1"/>
        <c:lblAlgn val="ctr"/>
        <c:lblOffset val="100"/>
        <c:noMultiLvlLbl val="0"/>
      </c:catAx>
      <c:valAx>
        <c:axId val="83029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0a3c57-b22c-4d55-b1a4-9c3c7e95b487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CrystalDiskMark Main - Random I/O 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(Performance!$B$33,Performance!$B$34,Performance!$B$35,Performance!$B$36)</c:f>
              <c:strCache>
                <c:ptCount val="4"/>
                <c:pt idx="0">
                  <c:v>RND 4KiB (Q= 32, T= 1)-Read (MB)</c:v>
                </c:pt>
                <c:pt idx="1">
                  <c:v>RND 4KiB (Q= 32, T= 1)-Write (MB)</c:v>
                </c:pt>
                <c:pt idx="2">
                  <c:v>RND 4KiB (Q= 1, T= 1)-Read (MB)</c:v>
                </c:pt>
                <c:pt idx="3">
                  <c:v>RND 4KiB (Q= 1, T= 1)-Write (MB)</c:v>
                </c:pt>
              </c:strCache>
            </c:strRef>
          </c:cat>
          <c:val>
            <c:numRef>
              <c:f>(Performance!$G$33,Performance!$G$34,Performance!$G$35,Performance!$G$36)</c:f>
              <c:numCache>
                <c:formatCode>0</c:formatCode>
                <c:ptCount val="4"/>
                <c:pt idx="0">
                  <c:v>596.73333333333335</c:v>
                </c:pt>
                <c:pt idx="1">
                  <c:v>371.16666666666669</c:v>
                </c:pt>
                <c:pt idx="2">
                  <c:v>64.566666666666677</c:v>
                </c:pt>
                <c:pt idx="3">
                  <c:v>176.56666666666669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0-4B5C-8CEB-C1BE09BF5732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(Performance!$B$33,Performance!$B$34,Performance!$B$35,Performance!$B$36)</c:f>
              <c:strCache>
                <c:ptCount val="4"/>
                <c:pt idx="0">
                  <c:v>RND 4KiB (Q= 32, T= 1)-Read (MB)</c:v>
                </c:pt>
                <c:pt idx="1">
                  <c:v>RND 4KiB (Q= 32, T= 1)-Write (MB)</c:v>
                </c:pt>
                <c:pt idx="2">
                  <c:v>RND 4KiB (Q= 1, T= 1)-Read (MB)</c:v>
                </c:pt>
                <c:pt idx="3">
                  <c:v>RND 4KiB (Q= 1, T= 1)-Write (MB)</c:v>
                </c:pt>
              </c:strCache>
            </c:strRef>
          </c:cat>
          <c:val>
            <c:numRef>
              <c:f>(Performance!$L$33,Performance!$L$34,Performance!$L$35,Performance!$L$36)</c:f>
              <c:numCache>
                <c:formatCode>0</c:formatCode>
                <c:ptCount val="4"/>
                <c:pt idx="0">
                  <c:v>609.86666666666667</c:v>
                </c:pt>
                <c:pt idx="1">
                  <c:v>371.90000000000003</c:v>
                </c:pt>
                <c:pt idx="2">
                  <c:v>66.066666666666663</c:v>
                </c:pt>
                <c:pt idx="3">
                  <c:v>177.70000000000002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0-4B5C-8CEB-C1BE09BF5732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(Performance!$B$33,Performance!$B$34,Performance!$B$35,Performance!$B$36)</c:f>
              <c:strCache>
                <c:ptCount val="4"/>
                <c:pt idx="0">
                  <c:v>RND 4KiB (Q= 32, T= 1)-Read (MB)</c:v>
                </c:pt>
                <c:pt idx="1">
                  <c:v>RND 4KiB (Q= 32, T= 1)-Write (MB)</c:v>
                </c:pt>
                <c:pt idx="2">
                  <c:v>RND 4KiB (Q= 1, T= 1)-Read (MB)</c:v>
                </c:pt>
                <c:pt idx="3">
                  <c:v>RND 4KiB (Q= 1, T= 1)-Write (MB)</c:v>
                </c:pt>
              </c:strCache>
            </c:strRef>
          </c:cat>
          <c:val>
            <c:numRef>
              <c:f>(Performance!$Q$33,Performance!$Q$34,Performance!$Q$35,Performance!$Q$36)</c:f>
              <c:numCache>
                <c:formatCode>0</c:formatCode>
                <c:ptCount val="4"/>
                <c:pt idx="0">
                  <c:v>604.66666666666663</c:v>
                </c:pt>
                <c:pt idx="1">
                  <c:v>371.26666666666665</c:v>
                </c:pt>
                <c:pt idx="2">
                  <c:v>66.266666666666666</c:v>
                </c:pt>
                <c:pt idx="3">
                  <c:v>177.43333333333331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0-4B5C-8CEB-C1BE09BF57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5232"/>
        <c:axId val="830305024"/>
      </c:barChart>
      <c:catAx>
        <c:axId val="83029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5024"/>
        <c:crosses val="autoZero"/>
        <c:auto val="1"/>
        <c:lblAlgn val="ctr"/>
        <c:lblOffset val="100"/>
        <c:noMultiLvlLbl val="0"/>
      </c:catAx>
      <c:valAx>
        <c:axId val="83030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d4fb91-99fe-4226-89fa-75ad586e4ec1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Cinebench R20 -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Performance!$B$17:$B$18</c:f>
              <c:strCache>
                <c:ptCount val="2"/>
                <c:pt idx="0">
                  <c:v>CPU score (pts)</c:v>
                </c:pt>
                <c:pt idx="1">
                  <c:v>CPU score (Single Core)  (pts)</c:v>
                </c:pt>
              </c:strCache>
            </c:strRef>
          </c:cat>
          <c:val>
            <c:numRef>
              <c:f>Performance!$G$17:$G$18</c:f>
              <c:numCache>
                <c:formatCode>0</c:formatCode>
                <c:ptCount val="2"/>
                <c:pt idx="0">
                  <c:v>23665.566666666669</c:v>
                </c:pt>
                <c:pt idx="1">
                  <c:v>1970.1000000000001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4-4C97-B2A0-D79CDF6C9145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Performance!$B$17:$B$18</c:f>
              <c:strCache>
                <c:ptCount val="2"/>
                <c:pt idx="0">
                  <c:v>CPU score (pts)</c:v>
                </c:pt>
                <c:pt idx="1">
                  <c:v>CPU score (Single Core)  (pts)</c:v>
                </c:pt>
              </c:strCache>
            </c:strRef>
          </c:cat>
          <c:val>
            <c:numRef>
              <c:f>Performance!$L$17:$L$18</c:f>
              <c:numCache>
                <c:formatCode>0</c:formatCode>
                <c:ptCount val="2"/>
                <c:pt idx="0">
                  <c:v>24934.233333333334</c:v>
                </c:pt>
                <c:pt idx="1">
                  <c:v>1979.0666666666666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4-4C97-B2A0-D79CDF6C9145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Performance!$B$17:$B$18</c:f>
              <c:strCache>
                <c:ptCount val="2"/>
                <c:pt idx="0">
                  <c:v>CPU score (pts)</c:v>
                </c:pt>
                <c:pt idx="1">
                  <c:v>CPU score (Single Core)  (pts)</c:v>
                </c:pt>
              </c:strCache>
            </c:strRef>
          </c:cat>
          <c:val>
            <c:numRef>
              <c:f>(Performance!$Q$17,Performance!$Q$18)</c:f>
              <c:numCache>
                <c:formatCode>0</c:formatCode>
                <c:ptCount val="2"/>
                <c:pt idx="0">
                  <c:v>27221.733333333334</c:v>
                </c:pt>
                <c:pt idx="1">
                  <c:v>1981.2333333333333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C4-4C97-B2A0-D79CDF6C91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2544"/>
        <c:axId val="884305264"/>
      </c:barChart>
      <c:catAx>
        <c:axId val="88430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5264"/>
        <c:crosses val="autoZero"/>
        <c:auto val="1"/>
        <c:lblAlgn val="ctr"/>
        <c:lblOffset val="100"/>
        <c:noMultiLvlLbl val="0"/>
      </c:catAx>
      <c:valAx>
        <c:axId val="88430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693478-315c-4f10-a117-289f5c92b942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Cinebench R23 -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(Performance!$B$20,Performance!$B$21)</c:f>
              <c:strCache>
                <c:ptCount val="2"/>
                <c:pt idx="0">
                  <c:v>CPU score (pts)</c:v>
                </c:pt>
                <c:pt idx="1">
                  <c:v>CPU score (Single Core)  (pts)</c:v>
                </c:pt>
              </c:strCache>
            </c:strRef>
          </c:cat>
          <c:val>
            <c:numRef>
              <c:f>Performance!$G$20:$G$21</c:f>
              <c:numCache>
                <c:formatCode>0</c:formatCode>
                <c:ptCount val="2"/>
                <c:pt idx="0">
                  <c:v>1301.8000000000002</c:v>
                </c:pt>
                <c:pt idx="1">
                  <c:v>112.63333333333333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F-4AAA-9E52-711D8AD89613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(Performance!$B$20,Performance!$B$21)</c:f>
              <c:strCache>
                <c:ptCount val="2"/>
                <c:pt idx="0">
                  <c:v>CPU score (pts)</c:v>
                </c:pt>
                <c:pt idx="1">
                  <c:v>CPU score (Single Core)  (pts)</c:v>
                </c:pt>
              </c:strCache>
            </c:strRef>
          </c:cat>
          <c:val>
            <c:numRef>
              <c:f>(Performance!$L$20,Performance!$L$21)</c:f>
              <c:numCache>
                <c:formatCode>0</c:formatCode>
                <c:ptCount val="2"/>
                <c:pt idx="0">
                  <c:v>1350.4666666666669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7F-4AAA-9E52-711D8AD89613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(Performance!$B$20,Performance!$B$21)</c:f>
              <c:strCache>
                <c:ptCount val="2"/>
                <c:pt idx="0">
                  <c:v>CPU score (pts)</c:v>
                </c:pt>
                <c:pt idx="1">
                  <c:v>CPU score (Single Core)  (pts)</c:v>
                </c:pt>
              </c:strCache>
            </c:strRef>
          </c:cat>
          <c:val>
            <c:numRef>
              <c:f>Performance!$Q$20:$Q$21</c:f>
              <c:numCache>
                <c:formatCode>0</c:formatCode>
                <c:ptCount val="2"/>
                <c:pt idx="0">
                  <c:v>1427.1666666666667</c:v>
                </c:pt>
                <c:pt idx="1">
                  <c:v>112.8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7F-4AAA-9E52-711D8AD896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8192"/>
        <c:axId val="884298736"/>
      </c:barChart>
      <c:catAx>
        <c:axId val="88429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8736"/>
        <c:crosses val="autoZero"/>
        <c:auto val="1"/>
        <c:lblAlgn val="ctr"/>
        <c:lblOffset val="100"/>
        <c:noMultiLvlLbl val="0"/>
      </c:catAx>
      <c:valAx>
        <c:axId val="88429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d37896-d746-44b1-8994-afc4727870d4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PCMark10 -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(Performance!$B$47,Performance!$B$48,Performance!$B$52,Performance!$B$55)</c:f>
              <c:strCache>
                <c:ptCount val="4"/>
                <c:pt idx="0">
                  <c:v>PCMark10 Score</c:v>
                </c:pt>
                <c:pt idx="1">
                  <c:v>Essentials</c:v>
                </c:pt>
                <c:pt idx="2">
                  <c:v>Productivity</c:v>
                </c:pt>
                <c:pt idx="3">
                  <c:v>Digital Content Score</c:v>
                </c:pt>
              </c:strCache>
            </c:strRef>
          </c:cat>
          <c:val>
            <c:numRef>
              <c:f>(Performance!$G$47,Performance!$G$48,Performance!$G$52,Performance!$G$55)</c:f>
              <c:numCache>
                <c:formatCode>0</c:formatCode>
                <c:ptCount val="4"/>
                <c:pt idx="0">
                  <c:v>8770</c:v>
                </c:pt>
                <c:pt idx="1">
                  <c:v>11208</c:v>
                </c:pt>
                <c:pt idx="2">
                  <c:v>11413</c:v>
                </c:pt>
                <c:pt idx="3">
                  <c:v>14310.333333333334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F-4BFE-B425-A5EA3606AF6D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(Performance!$B$47,Performance!$B$48,Performance!$B$52,Performance!$B$55)</c:f>
              <c:strCache>
                <c:ptCount val="4"/>
                <c:pt idx="0">
                  <c:v>PCMark10 Score</c:v>
                </c:pt>
                <c:pt idx="1">
                  <c:v>Essentials</c:v>
                </c:pt>
                <c:pt idx="2">
                  <c:v>Productivity</c:v>
                </c:pt>
                <c:pt idx="3">
                  <c:v>Digital Content Score</c:v>
                </c:pt>
              </c:strCache>
            </c:strRef>
          </c:cat>
          <c:val>
            <c:numRef>
              <c:f>(Performance!$L$47,Performance!$L$48,Performance!$L$52,Performance!$L$55)</c:f>
              <c:numCache>
                <c:formatCode>0</c:formatCode>
                <c:ptCount val="4"/>
                <c:pt idx="0">
                  <c:v>9070.3333333333339</c:v>
                </c:pt>
                <c:pt idx="1">
                  <c:v>11434.333333333334</c:v>
                </c:pt>
                <c:pt idx="2">
                  <c:v>11968.666666666666</c:v>
                </c:pt>
                <c:pt idx="3">
                  <c:v>14795.666666666666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F-4BFE-B425-A5EA3606AF6D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(Performance!$B$47,Performance!$B$48,Performance!$B$52,Performance!$B$55)</c:f>
              <c:strCache>
                <c:ptCount val="4"/>
                <c:pt idx="0">
                  <c:v>PCMark10 Score</c:v>
                </c:pt>
                <c:pt idx="1">
                  <c:v>Essentials</c:v>
                </c:pt>
                <c:pt idx="2">
                  <c:v>Productivity</c:v>
                </c:pt>
                <c:pt idx="3">
                  <c:v>Digital Content Score</c:v>
                </c:pt>
              </c:strCache>
            </c:strRef>
          </c:cat>
          <c:val>
            <c:numRef>
              <c:f>(Performance!$Q$47,Performance!$Q$48,Performance!$Q$52,Performance!$Q$55)</c:f>
              <c:numCache>
                <c:formatCode>0</c:formatCode>
                <c:ptCount val="4"/>
                <c:pt idx="0">
                  <c:v>9144</c:v>
                </c:pt>
                <c:pt idx="1">
                  <c:v>11433.666666666666</c:v>
                </c:pt>
                <c:pt idx="2">
                  <c:v>11361</c:v>
                </c:pt>
                <c:pt idx="3">
                  <c:v>15203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F-4BFE-B425-A5EA3606AF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5808"/>
        <c:axId val="884309072"/>
      </c:barChart>
      <c:catAx>
        <c:axId val="88430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9072"/>
        <c:crosses val="autoZero"/>
        <c:auto val="1"/>
        <c:lblAlgn val="ctr"/>
        <c:lblOffset val="100"/>
        <c:noMultiLvlLbl val="0"/>
      </c:catAx>
      <c:valAx>
        <c:axId val="88430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9cc4c8-b047-435e-9cd2-eff16e0b4426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PCMark10 - Individual Test Results -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(Performance!$B$49,Performance!$B$50,Performance!$B$51,Performance!$B$53,Performance!$B$54,Performance!$B$56,Performance!$B$57,Performance!$B$58)</c:f>
              <c:strCache>
                <c:ptCount val="8"/>
                <c:pt idx="0">
                  <c:v>App Start-up Score</c:v>
                </c:pt>
                <c:pt idx="1">
                  <c:v>Video Conferencing Score</c:v>
                </c:pt>
                <c:pt idx="2">
                  <c:v>Web Browsing Score</c:v>
                </c:pt>
                <c:pt idx="3">
                  <c:v>Spreadsheets Score</c:v>
                </c:pt>
                <c:pt idx="4">
                  <c:v>Writing Score</c:v>
                </c:pt>
                <c:pt idx="5">
                  <c:v>Photo Editing Score</c:v>
                </c:pt>
                <c:pt idx="6">
                  <c:v>Rendering and Visualization Score</c:v>
                </c:pt>
                <c:pt idx="7">
                  <c:v>Video Editing Score</c:v>
                </c:pt>
              </c:strCache>
            </c:strRef>
          </c:cat>
          <c:val>
            <c:numRef>
              <c:f>(Performance!$G$49,Performance!$G$50,Performance!$G$51,Performance!$G$53,Performance!$G$54,Performance!$G$56,Performance!$G$57,Performance!$G$58)</c:f>
              <c:numCache>
                <c:formatCode>0</c:formatCode>
                <c:ptCount val="8"/>
                <c:pt idx="0">
                  <c:v>14366.333333333334</c:v>
                </c:pt>
                <c:pt idx="1">
                  <c:v>9110.3333333333339</c:v>
                </c:pt>
                <c:pt idx="2">
                  <c:v>10759</c:v>
                </c:pt>
                <c:pt idx="3">
                  <c:v>15254.333333333334</c:v>
                </c:pt>
                <c:pt idx="4">
                  <c:v>8540</c:v>
                </c:pt>
                <c:pt idx="5">
                  <c:v>20719</c:v>
                </c:pt>
                <c:pt idx="6">
                  <c:v>17988.333333333332</c:v>
                </c:pt>
                <c:pt idx="7">
                  <c:v>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D-49D8-9247-1CA5E4504DB7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(Performance!$B$49,Performance!$B$50,Performance!$B$51,Performance!$B$53,Performance!$B$54,Performance!$B$56,Performance!$B$57,Performance!$B$58)</c:f>
              <c:strCache>
                <c:ptCount val="8"/>
                <c:pt idx="0">
                  <c:v>App Start-up Score</c:v>
                </c:pt>
                <c:pt idx="1">
                  <c:v>Video Conferencing Score</c:v>
                </c:pt>
                <c:pt idx="2">
                  <c:v>Web Browsing Score</c:v>
                </c:pt>
                <c:pt idx="3">
                  <c:v>Spreadsheets Score</c:v>
                </c:pt>
                <c:pt idx="4">
                  <c:v>Writing Score</c:v>
                </c:pt>
                <c:pt idx="5">
                  <c:v>Photo Editing Score</c:v>
                </c:pt>
                <c:pt idx="6">
                  <c:v>Rendering and Visualization Score</c:v>
                </c:pt>
                <c:pt idx="7">
                  <c:v>Video Editing Score</c:v>
                </c:pt>
              </c:strCache>
            </c:strRef>
          </c:cat>
          <c:val>
            <c:numRef>
              <c:f>(Performance!$L$49,Performance!$L$50,Performance!$L$51,Performance!$L$53,Performance!$L$54,Performance!$L$56,Performance!$L$57,Performance!$L$58)</c:f>
              <c:numCache>
                <c:formatCode>0</c:formatCode>
                <c:ptCount val="8"/>
                <c:pt idx="0">
                  <c:v>14988</c:v>
                </c:pt>
                <c:pt idx="1">
                  <c:v>9231.3333333333339</c:v>
                </c:pt>
                <c:pt idx="2">
                  <c:v>10806.666666666666</c:v>
                </c:pt>
                <c:pt idx="3">
                  <c:v>15967</c:v>
                </c:pt>
                <c:pt idx="4">
                  <c:v>8972.6666666666661</c:v>
                </c:pt>
                <c:pt idx="5">
                  <c:v>21517</c:v>
                </c:pt>
                <c:pt idx="6">
                  <c:v>18857.333333333332</c:v>
                </c:pt>
                <c:pt idx="7">
                  <c:v>7984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D-49D8-9247-1CA5E4504DB7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(Performance!$B$49,Performance!$B$50,Performance!$B$51,Performance!$B$53,Performance!$B$54,Performance!$B$56,Performance!$B$57,Performance!$B$58)</c:f>
              <c:strCache>
                <c:ptCount val="8"/>
                <c:pt idx="0">
                  <c:v>App Start-up Score</c:v>
                </c:pt>
                <c:pt idx="1">
                  <c:v>Video Conferencing Score</c:v>
                </c:pt>
                <c:pt idx="2">
                  <c:v>Web Browsing Score</c:v>
                </c:pt>
                <c:pt idx="3">
                  <c:v>Spreadsheets Score</c:v>
                </c:pt>
                <c:pt idx="4">
                  <c:v>Writing Score</c:v>
                </c:pt>
                <c:pt idx="5">
                  <c:v>Photo Editing Score</c:v>
                </c:pt>
                <c:pt idx="6">
                  <c:v>Rendering and Visualization Score</c:v>
                </c:pt>
                <c:pt idx="7">
                  <c:v>Video Editing Score</c:v>
                </c:pt>
              </c:strCache>
            </c:strRef>
          </c:cat>
          <c:val>
            <c:numRef>
              <c:f>(Performance!$Q$49,Performance!$Q$50,Performance!$Q$51,Performance!$Q$53,Performance!$Q$54,Performance!$Q$56,Performance!$Q$57,Performance!$Q$58)</c:f>
              <c:numCache>
                <c:formatCode>0</c:formatCode>
                <c:ptCount val="8"/>
                <c:pt idx="0">
                  <c:v>14935.666666666666</c:v>
                </c:pt>
                <c:pt idx="1">
                  <c:v>9241.6666666666661</c:v>
                </c:pt>
                <c:pt idx="2">
                  <c:v>10830.666666666666</c:v>
                </c:pt>
                <c:pt idx="3">
                  <c:v>14830</c:v>
                </c:pt>
                <c:pt idx="4">
                  <c:v>8709</c:v>
                </c:pt>
                <c:pt idx="5">
                  <c:v>21937.333333333332</c:v>
                </c:pt>
                <c:pt idx="6">
                  <c:v>20279</c:v>
                </c:pt>
                <c:pt idx="7">
                  <c:v>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7D-49D8-9247-1CA5E4504D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8528"/>
        <c:axId val="884300368"/>
      </c:barChart>
      <c:catAx>
        <c:axId val="88430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368"/>
        <c:crosses val="autoZero"/>
        <c:auto val="1"/>
        <c:lblAlgn val="ctr"/>
        <c:lblOffset val="100"/>
        <c:noMultiLvlLbl val="0"/>
      </c:catAx>
      <c:valAx>
        <c:axId val="88430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6ee011-3550-441e-b0cd-8f1d0ddfec06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Blender 3.1 -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AE6-4FA1-B0BF-054F8A1A710C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AE6-4FA1-B0BF-054F8A1A710C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AE6-4FA1-B0BF-054F8A1A71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5838288"/>
        <c:axId val="885845904"/>
      </c:barChart>
      <c:catAx>
        <c:axId val="88583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45904"/>
        <c:crosses val="autoZero"/>
        <c:auto val="1"/>
        <c:lblAlgn val="ctr"/>
        <c:lblOffset val="100"/>
        <c:noMultiLvlLbl val="0"/>
      </c:catAx>
      <c:valAx>
        <c:axId val="88584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3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1619b7-a963-460f-9876-d18e4995ed08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Handbrake - Tears</a:t>
            </a:r>
            <a:r>
              <a:rPr lang="en-US" baseline="0"/>
              <a:t> of Steel 4K to 1080P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Performance!$B$60</c:f>
              <c:strCache>
                <c:ptCount val="1"/>
                <c:pt idx="0">
                  <c:v>Encoding Time</c:v>
                </c:pt>
              </c:strCache>
            </c:strRef>
          </c:cat>
          <c:val>
            <c:numRef>
              <c:f>Performance!$G$60</c:f>
              <c:numCache>
                <c:formatCode>0</c:formatCode>
                <c:ptCount val="1"/>
                <c:pt idx="0">
                  <c:v>264.33333333333331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B-4ED6-B9F2-211D9ECB32DF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Performance!$B$60</c:f>
              <c:strCache>
                <c:ptCount val="1"/>
                <c:pt idx="0">
                  <c:v>Encoding Time</c:v>
                </c:pt>
              </c:strCache>
            </c:strRef>
          </c:cat>
          <c:val>
            <c:numRef>
              <c:f>Performance!$L$60</c:f>
              <c:numCache>
                <c:formatCode>0</c:formatCode>
                <c:ptCount val="1"/>
                <c:pt idx="0">
                  <c:v>255.33333333333334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B-4ED6-B9F2-211D9ECB32DF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Performance!$B$60</c:f>
              <c:strCache>
                <c:ptCount val="1"/>
                <c:pt idx="0">
                  <c:v>Encoding Time</c:v>
                </c:pt>
              </c:strCache>
            </c:strRef>
          </c:cat>
          <c:val>
            <c:numRef>
              <c:f>Performance!$Q$60</c:f>
              <c:numCache>
                <c:formatCode>0</c:formatCode>
                <c:ptCount val="1"/>
                <c:pt idx="0">
                  <c:v>237.33333333333334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9B-4ED6-B9F2-211D9ECB32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5844272"/>
        <c:axId val="885846448"/>
      </c:barChart>
      <c:catAx>
        <c:axId val="88584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46448"/>
        <c:crosses val="autoZero"/>
        <c:auto val="1"/>
        <c:lblAlgn val="ctr"/>
        <c:lblOffset val="100"/>
        <c:noMultiLvlLbl val="0"/>
      </c:catAx>
      <c:valAx>
        <c:axId val="88584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eac062-b031-468e-9a57-3359238de6de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3DMark Speed Way - </a:t>
            </a:r>
            <a:r>
              <a:rPr lang="en-US" sz="1400" b="0" i="0" u="none" strike="noStrike" baseline="0">
                <a:effectLst/>
              </a:rPr>
              <a:t>- MSHybrid (Auto Mode)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</c:f>
              <c:strCache>
                <c:ptCount val="1"/>
                <c:pt idx="0">
                  <c:v>Graphics Score</c:v>
                </c:pt>
              </c:strCache>
            </c:strRef>
          </c:cat>
          <c:val>
            <c:numRef>
              <c:f>Performance!$G$15</c:f>
              <c:numCache>
                <c:formatCode>0</c:formatCode>
                <c:ptCount val="1"/>
                <c:pt idx="0">
                  <c:v>1390.3333333333333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7-432A-A73E-05A3B27F2EB6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</c:f>
              <c:strCache>
                <c:ptCount val="1"/>
                <c:pt idx="0">
                  <c:v>Graphics Score</c:v>
                </c:pt>
              </c:strCache>
            </c:strRef>
          </c:cat>
          <c:val>
            <c:numRef>
              <c:f>Performance!$L$15</c:f>
              <c:numCache>
                <c:formatCode>0</c:formatCode>
                <c:ptCount val="1"/>
                <c:pt idx="0">
                  <c:v>1392.6666666666667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7-432A-A73E-05A3B27F2EB6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</c:f>
              <c:strCache>
                <c:ptCount val="1"/>
                <c:pt idx="0">
                  <c:v>Graphics Score</c:v>
                </c:pt>
              </c:strCache>
            </c:strRef>
          </c:cat>
          <c:val>
            <c:numRef>
              <c:f>Performance!$Q$15</c:f>
              <c:numCache>
                <c:formatCode>0</c:formatCode>
                <c:ptCount val="1"/>
                <c:pt idx="0">
                  <c:v>1398.6666666666667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B7-432A-A73E-05A3B27F2E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5776"/>
        <c:axId val="830301760"/>
      </c:barChart>
      <c:catAx>
        <c:axId val="83029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1760"/>
        <c:crosses val="autoZero"/>
        <c:auto val="1"/>
        <c:lblAlgn val="ctr"/>
        <c:lblOffset val="100"/>
        <c:noMultiLvlLbl val="0"/>
      </c:catAx>
      <c:valAx>
        <c:axId val="83030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075c9a-f564-40f7-9498-11b877e1c3ee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Rainbow Six Siege - MSHybrid - MSHybrid (Auto Mode)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Performance!$B$62:$B$64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Performance!$G$62:$G$64</c:f>
              <c:numCache>
                <c:formatCode>0</c:formatCode>
                <c:ptCount val="3"/>
                <c:pt idx="0">
                  <c:v>282.66666666666669</c:v>
                </c:pt>
                <c:pt idx="1">
                  <c:v>212</c:v>
                </c:pt>
                <c:pt idx="2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4-422D-AE4F-13FA3B5C0D25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Performance!$B$62:$B$64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Performance!$L$62:$L$64</c:f>
              <c:numCache>
                <c:formatCode>0</c:formatCode>
                <c:ptCount val="3"/>
                <c:pt idx="0">
                  <c:v>291.66666666666669</c:v>
                </c:pt>
                <c:pt idx="1">
                  <c:v>219.33333333333334</c:v>
                </c:pt>
                <c:pt idx="2">
                  <c:v>358.66666666666669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B4-422D-AE4F-13FA3B5C0D25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Performance!$B$62:$B$64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Performance!$Q$62:$Q$64</c:f>
              <c:numCache>
                <c:formatCode>0</c:formatCode>
                <c:ptCount val="3"/>
                <c:pt idx="0">
                  <c:v>317</c:v>
                </c:pt>
                <c:pt idx="1">
                  <c:v>232.66666666666666</c:v>
                </c:pt>
                <c:pt idx="2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B4-422D-AE4F-13FA3B5C0D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8de8a0-fb60-43c5-a890-38d9907d949f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Rainbow Six Siege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Performance!$B$65:$B$67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Performance!$G$65:$G$67</c:f>
              <c:numCache>
                <c:formatCode>0</c:formatCode>
                <c:ptCount val="3"/>
                <c:pt idx="0">
                  <c:v>171.33333333333334</c:v>
                </c:pt>
                <c:pt idx="1">
                  <c:v>136.66666666666666</c:v>
                </c:pt>
                <c:pt idx="2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D-42A3-BCB3-E0762A1D9203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Performance!$B$65:$B$67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Performance!$L$65:$L$67</c:f>
              <c:numCache>
                <c:formatCode>0</c:formatCode>
                <c:ptCount val="3"/>
                <c:pt idx="0">
                  <c:v>174</c:v>
                </c:pt>
                <c:pt idx="1">
                  <c:v>137.66666666666666</c:v>
                </c:pt>
                <c:pt idx="2">
                  <c:v>203.33333333333334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FD-42A3-BCB3-E0762A1D9203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Performance!$B$65:$B$67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Performance!$Q$65:$Q$67</c:f>
              <c:numCache>
                <c:formatCode>0</c:formatCode>
                <c:ptCount val="3"/>
                <c:pt idx="0">
                  <c:v>189</c:v>
                </c:pt>
                <c:pt idx="1">
                  <c:v>149.66666666666666</c:v>
                </c:pt>
                <c:pt idx="2">
                  <c:v>221.33333333333334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FD-42A3-BCB3-E0762A1D92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7648"/>
        <c:axId val="884300912"/>
      </c:barChart>
      <c:catAx>
        <c:axId val="8842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912"/>
        <c:crosses val="autoZero"/>
        <c:auto val="1"/>
        <c:lblAlgn val="ctr"/>
        <c:lblOffset val="100"/>
        <c:noMultiLvlLbl val="0"/>
      </c:catAx>
      <c:valAx>
        <c:axId val="884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b2b52b-6c15-47ca-be8a-a2f82ac3f420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Rainbow Six Siege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4K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Performance!$B$71:$B$73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Performance!$G$71:$G$73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C-43A1-865C-2D45EF94A099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Performance!$B$71:$B$73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Performance!$L$71:$L$73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C-43A1-865C-2D45EF94A099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Performance!$B$71:$B$73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Performance!$Q$71:$Q$73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0C-43A1-865C-2D45EF94A0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7440"/>
        <c:axId val="884301456"/>
      </c:barChart>
      <c:catAx>
        <c:axId val="8843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1456"/>
        <c:crosses val="autoZero"/>
        <c:auto val="1"/>
        <c:lblAlgn val="ctr"/>
        <c:lblOffset val="100"/>
        <c:noMultiLvlLbl val="0"/>
      </c:catAx>
      <c:valAx>
        <c:axId val="884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a986b9-5e8e-4302-a183-adb6e5957094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Rainbow Six Siege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(Optimus Mode) </a:t>
            </a:r>
            <a:r>
              <a:rPr lang="en-US" altLang="zh-TW" sz="1400" b="0" i="0" u="none" strike="noStrike" baseline="0">
                <a:effectLst/>
              </a:rPr>
              <a:t>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Performance!$B$62:$B$64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'C:\Users\tl\Desktop\NOW\FA401GM_PR\TPR\[NR-Performance]NR-Performance'!#REF!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9-4389-880C-222D0114245B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Performance!$B$62:$B$64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'C:\Users\tl\Desktop\NOW\FA401GM_PR\TPR\[NR-Performance]NR-Performance'!#REF!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9-4389-880C-222D0114245B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Performance!$B$62:$B$64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'C:\Users\tl\Desktop\NOW\FA401GM_PR\TPR\[NR-Performance]NR-Performance'!#REF!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9-4389-880C-222D011424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5848624"/>
        <c:axId val="885849168"/>
      </c:barChart>
      <c:catAx>
        <c:axId val="88584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49168"/>
        <c:crosses val="autoZero"/>
        <c:auto val="1"/>
        <c:lblAlgn val="ctr"/>
        <c:lblOffset val="100"/>
        <c:noMultiLvlLbl val="0"/>
      </c:catAx>
      <c:valAx>
        <c:axId val="88584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4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0e9a32-95cf-43ac-abad-8242e7eb58b9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Rainbow Six Siege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(Optimus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Performance!$B$65:$B$67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'C:\Users\tl\Desktop\NOW\FA401GM_PR\TPR\[NR-Performance]NR-Performance'!#REF!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E-4BEE-8647-CACB94E75193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Performance!$B$65:$B$67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'C:\Users\tl\Desktop\NOW\FA401GM_PR\TPR\[NR-Performance]NR-Performance'!#REF!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E-4BEE-8647-CACB94E75193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Performance!$B$65:$B$67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'C:\Users\tl\Desktop\NOW\FA401GM_PR\TPR\[NR-Performance]NR-Performance'!#REF!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E-4BEE-8647-CACB94E751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5833936"/>
        <c:axId val="885835568"/>
      </c:barChart>
      <c:catAx>
        <c:axId val="88583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35568"/>
        <c:crosses val="autoZero"/>
        <c:auto val="1"/>
        <c:lblAlgn val="ctr"/>
        <c:lblOffset val="100"/>
        <c:noMultiLvlLbl val="0"/>
      </c:catAx>
      <c:valAx>
        <c:axId val="88583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3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e5dfeb-ced9-487c-9094-78b55c78dd4b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Rainbow Six Siege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(Optimus Mode) </a:t>
            </a:r>
            <a:r>
              <a:rPr lang="en-US" altLang="zh-TW" sz="1400" b="0" i="0" u="none" strike="noStrike" baseline="0">
                <a:effectLst/>
              </a:rPr>
              <a:t> - 4</a:t>
            </a:r>
            <a:r>
              <a:rPr lang="en-US"/>
              <a:t>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Performance!$B$71:$B$73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'C:\Users\tl\Desktop\NOW\FA401GM_PR\TPR\[NR-Performance]NR-Performance'!#REF!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25D-BDDB-1DA74BEF6A2E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Performance!$B$71:$B$73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'C:\Users\tl\Desktop\NOW\FA401GM_PR\TPR\[NR-Performance]NR-Performance'!#REF!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6-425D-BDDB-1DA74BEF6A2E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Performance!$B$71:$B$73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'C:\Users\tl\Desktop\NOW\FA401GM_PR\TPR\[NR-Performance]NR-Performance'!#REF!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76-425D-BDDB-1DA74BEF6A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5836112"/>
        <c:axId val="885836656"/>
      </c:barChart>
      <c:catAx>
        <c:axId val="88583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36656"/>
        <c:crosses val="autoZero"/>
        <c:auto val="1"/>
        <c:lblAlgn val="ctr"/>
        <c:lblOffset val="100"/>
        <c:noMultiLvlLbl val="0"/>
      </c:catAx>
      <c:valAx>
        <c:axId val="8858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583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1f16af-af86-4ff0-8bf9-2531c7e402cb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Far Cry 6 - MSHybrid - MSHybrid (Auto Mode)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E5-47B5-A0F7-8819249F5BD6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E5-47B5-A0F7-8819249F5BD6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E5-47B5-A0F7-8819249F5B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dc4823-2219-43c6-8d3e-ffdaea8a3b91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Far Cry 6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9CA-48AC-9452-B4D532019A58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9CA-48AC-9452-B4D532019A58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9CA-48AC-9452-B4D532019A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7648"/>
        <c:axId val="884300912"/>
      </c:barChart>
      <c:catAx>
        <c:axId val="8842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912"/>
        <c:crosses val="autoZero"/>
        <c:auto val="1"/>
        <c:lblAlgn val="ctr"/>
        <c:lblOffset val="100"/>
        <c:noMultiLvlLbl val="0"/>
      </c:catAx>
      <c:valAx>
        <c:axId val="884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0446d6-34a6-4e68-9e6c-13eef7df22d2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Far Cry 6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4K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9B9-4019-AD1B-B621CEC3B50B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9B9-4019-AD1B-B621CEC3B50B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9B9-4019-AD1B-B621CEC3B5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7440"/>
        <c:axId val="884301456"/>
      </c:barChart>
      <c:catAx>
        <c:axId val="8843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1456"/>
        <c:crosses val="autoZero"/>
        <c:auto val="1"/>
        <c:lblAlgn val="ctr"/>
        <c:lblOffset val="100"/>
        <c:noMultiLvlLbl val="0"/>
      </c:catAx>
      <c:valAx>
        <c:axId val="884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059477-2473-46f3-9a8d-6e94dc3b05a8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Metro Exodus RT OFF - MSHybrid - MSHybrid (Auto Mode)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Performance!$B$75:$B$77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Performance!$G$75:$G$77</c:f>
              <c:numCache>
                <c:formatCode>0</c:formatCode>
                <c:ptCount val="3"/>
                <c:pt idx="0">
                  <c:v>100.92666666666668</c:v>
                </c:pt>
                <c:pt idx="1">
                  <c:v>44.080000000000005</c:v>
                </c:pt>
                <c:pt idx="2">
                  <c:v>155.72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8-4D3B-8A4E-8FF1A4063B24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Performance!$B$75:$B$77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Performance!$L$75:$L$77</c:f>
              <c:numCache>
                <c:formatCode>0</c:formatCode>
                <c:ptCount val="3"/>
                <c:pt idx="0">
                  <c:v>108.59666666666665</c:v>
                </c:pt>
                <c:pt idx="1">
                  <c:v>47.50333333333333</c:v>
                </c:pt>
                <c:pt idx="2">
                  <c:v>167.87333333333333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8-4D3B-8A4E-8FF1A4063B24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Performance!$B$75:$B$77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Performance!$Q$75:$Q$77</c:f>
              <c:numCache>
                <c:formatCode>0</c:formatCode>
                <c:ptCount val="3"/>
                <c:pt idx="0">
                  <c:v>121.41000000000001</c:v>
                </c:pt>
                <c:pt idx="1">
                  <c:v>57.106666666666662</c:v>
                </c:pt>
                <c:pt idx="2">
                  <c:v>184.02333333333331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8-4D3B-8A4E-8FF1A4063B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280ad4-f841-4072-ab85-720295501262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Metro Exodus RT OFF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Performance!$B$78:$B$80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Performance!$G$78:$G$80</c:f>
              <c:numCache>
                <c:formatCode>0</c:formatCode>
                <c:ptCount val="3"/>
                <c:pt idx="0">
                  <c:v>76.013333333333335</c:v>
                </c:pt>
                <c:pt idx="1">
                  <c:v>42.24</c:v>
                </c:pt>
                <c:pt idx="2">
                  <c:v>109.91333333333334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D-43A2-838B-B718794CAA5A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Performance!$B$78:$B$80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Performance!$L$78:$L$80</c:f>
              <c:numCache>
                <c:formatCode>0</c:formatCode>
                <c:ptCount val="3"/>
                <c:pt idx="0">
                  <c:v>78.533333333333331</c:v>
                </c:pt>
                <c:pt idx="1">
                  <c:v>44.493333333333339</c:v>
                </c:pt>
                <c:pt idx="2">
                  <c:v>112.14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FD-43A2-838B-B718794CAA5A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Performance!$B$78:$B$80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Performance!$Q$78:$Q$80</c:f>
              <c:numCache>
                <c:formatCode>0</c:formatCode>
                <c:ptCount val="3"/>
                <c:pt idx="0">
                  <c:v>84.059999999999988</c:v>
                </c:pt>
                <c:pt idx="1">
                  <c:v>46.85</c:v>
                </c:pt>
                <c:pt idx="2">
                  <c:v>118.50666666666666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FD-43A2-838B-B718794CAA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7648"/>
        <c:axId val="884300912"/>
      </c:barChart>
      <c:catAx>
        <c:axId val="8842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912"/>
        <c:crosses val="autoZero"/>
        <c:auto val="1"/>
        <c:lblAlgn val="ctr"/>
        <c:lblOffset val="100"/>
        <c:noMultiLvlLbl val="0"/>
      </c:catAx>
      <c:valAx>
        <c:axId val="884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92bfc4-66e3-479e-afa1-9220bf50f8ed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Metro Exodus RT OFF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4K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Performance!$B$84:$B$86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Performance!$G$84:$G$86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F-46AC-8379-33256780DE7F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Performance!$B$84:$B$86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Performance!$L$84:$L$86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0F-46AC-8379-33256780DE7F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Performance!$B$84:$B$86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Performance!$Q$84:$Q$86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0F-46AC-8379-33256780DE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7440"/>
        <c:axId val="884301456"/>
      </c:barChart>
      <c:catAx>
        <c:axId val="8843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1456"/>
        <c:crosses val="autoZero"/>
        <c:auto val="1"/>
        <c:lblAlgn val="ctr"/>
        <c:lblOffset val="100"/>
        <c:noMultiLvlLbl val="0"/>
      </c:catAx>
      <c:valAx>
        <c:axId val="884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04673b-9017-408c-b86e-4b9fca58bcaa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Metro Exodus RT ON - MSHybrid - MSHybrid (Auto Mode)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Performance!$B$88:$B$90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Performance!$G$88:$G$90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B-4A44-AB47-7CE8F05CEB44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Performance!$B$88:$B$90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Performance!$L$88:$L$90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B-4A44-AB47-7CE8F05CEB44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Performance!$B$88:$B$90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Performance!$Q$88:$Q$90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6B-4A44-AB47-7CE8F05CEB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524ccf-2e45-4fac-a94b-f8e5f1bb5c68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Metro Exodus RT ON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Performance!$B$91:$B$93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Performance!$G$91:$G$93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D-4559-9A80-7B6356DC9713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Performance!$B$91:$B$93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Performance!$L$91:$L$93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D-4559-9A80-7B6356DC9713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Performance!$B$91:$B$93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Performance!$Q$91:$Q$93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2D-4559-9A80-7B6356DC97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7648"/>
        <c:axId val="884300912"/>
      </c:barChart>
      <c:catAx>
        <c:axId val="8842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912"/>
        <c:crosses val="autoZero"/>
        <c:auto val="1"/>
        <c:lblAlgn val="ctr"/>
        <c:lblOffset val="100"/>
        <c:noMultiLvlLbl val="0"/>
      </c:catAx>
      <c:valAx>
        <c:axId val="884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5debc2-4494-4f35-b840-864fb1d46b4d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Metro Exodus RT ON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4K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Performance!$B$97:$B$99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Performance!$G$97:$G$99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A-4368-968D-41BF7631B49B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Performance!$B$97:$B$99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Performance!$L$97:$L$99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A-4368-968D-41BF7631B49B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Performance!$B$97:$B$99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Performance!$Q$97:$Q$99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EA-4368-968D-41BF7631B4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7440"/>
        <c:axId val="884301456"/>
      </c:barChart>
      <c:catAx>
        <c:axId val="8843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1456"/>
        <c:crosses val="autoZero"/>
        <c:auto val="1"/>
        <c:lblAlgn val="ctr"/>
        <c:lblOffset val="100"/>
        <c:noMultiLvlLbl val="0"/>
      </c:catAx>
      <c:valAx>
        <c:axId val="884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ab4096-62fd-46e9-b35c-8f012b47b352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Cyberpunk 2077 - MSHybrid - MSHybrid (Auto Mode)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Performance!$B$101:$B$103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Performance!$G$101:$G$103</c:f>
              <c:numCache>
                <c:formatCode>0</c:formatCode>
                <c:ptCount val="3"/>
                <c:pt idx="0">
                  <c:v>95.716666666666654</c:v>
                </c:pt>
                <c:pt idx="1">
                  <c:v>72.13333333333334</c:v>
                </c:pt>
                <c:pt idx="2">
                  <c:v>129.61000000000001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1-46C9-A843-36D4E4AE2F6D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Performance!$B$101:$B$103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Performance!$L$101:$L$103</c:f>
              <c:numCache>
                <c:formatCode>0</c:formatCode>
                <c:ptCount val="3"/>
                <c:pt idx="0">
                  <c:v>107.29666666666667</c:v>
                </c:pt>
                <c:pt idx="1">
                  <c:v>81.296666666666667</c:v>
                </c:pt>
                <c:pt idx="2">
                  <c:v>144.15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1-46C9-A843-36D4E4AE2F6D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Performance!$B$101:$B$103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Performance!$Q$101:$Q$103</c:f>
              <c:numCache>
                <c:formatCode>0</c:formatCode>
                <c:ptCount val="3"/>
                <c:pt idx="0">
                  <c:v>123.46333333333332</c:v>
                </c:pt>
                <c:pt idx="1">
                  <c:v>95.589999999999989</c:v>
                </c:pt>
                <c:pt idx="2">
                  <c:v>160.20666666666668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51-46C9-A843-36D4E4AE2F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61606e-8cd4-4886-b190-bfa41b993253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Cyberpunk 2077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Performance!$B$104:$B$106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Performance!$G$104:$G$106</c:f>
              <c:numCache>
                <c:formatCode>0</c:formatCode>
                <c:ptCount val="3"/>
                <c:pt idx="0">
                  <c:v>63.416666666666664</c:v>
                </c:pt>
                <c:pt idx="1">
                  <c:v>49.516666666666673</c:v>
                </c:pt>
                <c:pt idx="2">
                  <c:v>85.213333333333324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A-4244-9D78-3987F39D732B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Performance!$B$104:$B$106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Performance!$L$104:$L$106</c:f>
              <c:numCache>
                <c:formatCode>0</c:formatCode>
                <c:ptCount val="3"/>
                <c:pt idx="0">
                  <c:v>86.75333333333333</c:v>
                </c:pt>
                <c:pt idx="1">
                  <c:v>68.273333333333341</c:v>
                </c:pt>
                <c:pt idx="2">
                  <c:v>116.15666666666668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A-4244-9D78-3987F39D732B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Performance!$B$104:$B$106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Performance!$Q$104:$Q$106</c:f>
              <c:numCache>
                <c:formatCode>0</c:formatCode>
                <c:ptCount val="3"/>
                <c:pt idx="0">
                  <c:v>92.719999999999985</c:v>
                </c:pt>
                <c:pt idx="1">
                  <c:v>72.25333333333333</c:v>
                </c:pt>
                <c:pt idx="2">
                  <c:v>125.47666666666667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A-4244-9D78-3987F39D73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7648"/>
        <c:axId val="884300912"/>
      </c:barChart>
      <c:catAx>
        <c:axId val="8842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912"/>
        <c:crosses val="autoZero"/>
        <c:auto val="1"/>
        <c:lblAlgn val="ctr"/>
        <c:lblOffset val="100"/>
        <c:noMultiLvlLbl val="0"/>
      </c:catAx>
      <c:valAx>
        <c:axId val="884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000e22-5da7-4b15-aea1-5f43bc3a47b2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Cyberpunk 2077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4K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Performance!$B$110:$B$112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Performance!$G$110:$G$112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4-42A3-A205-71F2D178B0B5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Performance!$B$110:$B$112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Performance!$L$110:$L$112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4-42A3-A205-71F2D178B0B5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Performance!$B$110:$B$112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Performance!$Q$110:$Q$112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44-42A3-A205-71F2D178B0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7440"/>
        <c:axId val="884301456"/>
      </c:barChart>
      <c:catAx>
        <c:axId val="8843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1456"/>
        <c:crosses val="autoZero"/>
        <c:auto val="1"/>
        <c:lblAlgn val="ctr"/>
        <c:lblOffset val="100"/>
        <c:noMultiLvlLbl val="0"/>
      </c:catAx>
      <c:valAx>
        <c:axId val="884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5f1128-ff95-466b-99fa-41530794753a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SotTR - MSHybrid - MSHybrid (Auto Mode)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Performance!$B$141:$B$142</c:f>
              <c:strCache>
                <c:ptCount val="2"/>
                <c:pt idx="0">
                  <c:v>Average FPS</c:v>
                </c:pt>
                <c:pt idx="1">
                  <c:v>Max FPS</c:v>
                </c:pt>
              </c:strCache>
            </c:strRef>
          </c:cat>
          <c:val>
            <c:numRef>
              <c:f>Performance!$G$141:$G$142</c:f>
              <c:numCache>
                <c:formatCode>0</c:formatCode>
                <c:ptCount val="2"/>
                <c:pt idx="0">
                  <c:v>146.93333333333331</c:v>
                </c:pt>
                <c:pt idx="1">
                  <c:v>239.73333333333335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F-4DC5-9CF1-9F40F988BCE5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Performance!$B$141:$B$142</c:f>
              <c:strCache>
                <c:ptCount val="2"/>
                <c:pt idx="0">
                  <c:v>Average FPS</c:v>
                </c:pt>
                <c:pt idx="1">
                  <c:v>Max FPS</c:v>
                </c:pt>
              </c:strCache>
            </c:strRef>
          </c:cat>
          <c:val>
            <c:numRef>
              <c:f>Performance!$L$141:$L$142</c:f>
              <c:numCache>
                <c:formatCode>0</c:formatCode>
                <c:ptCount val="2"/>
                <c:pt idx="0">
                  <c:v>160.46666666666667</c:v>
                </c:pt>
                <c:pt idx="1">
                  <c:v>251.06666666666669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F-4DC5-9CF1-9F40F988BCE5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Performance!$B$141:$B$142</c:f>
              <c:strCache>
                <c:ptCount val="2"/>
                <c:pt idx="0">
                  <c:v>Average FPS</c:v>
                </c:pt>
                <c:pt idx="1">
                  <c:v>Max FPS</c:v>
                </c:pt>
              </c:strCache>
            </c:strRef>
          </c:cat>
          <c:val>
            <c:numRef>
              <c:f>Performance!$Q$141:$Q$142</c:f>
              <c:numCache>
                <c:formatCode>0</c:formatCode>
                <c:ptCount val="2"/>
                <c:pt idx="0">
                  <c:v>173.4666666666667</c:v>
                </c:pt>
                <c:pt idx="1">
                  <c:v>253.56666666666669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EF-4DC5-9CF1-9F40F988B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4f77a2-cd2f-46ad-a517-3813f26e64cd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SotTR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Performance!$B$143:$B$144</c:f>
              <c:strCache>
                <c:ptCount val="2"/>
                <c:pt idx="0">
                  <c:v>Average FPS</c:v>
                </c:pt>
                <c:pt idx="1">
                  <c:v>Max FPS</c:v>
                </c:pt>
              </c:strCache>
            </c:strRef>
          </c:cat>
          <c:val>
            <c:numRef>
              <c:f>Performance!$G$143:$G$144</c:f>
              <c:numCache>
                <c:formatCode>0</c:formatCode>
                <c:ptCount val="2"/>
                <c:pt idx="0">
                  <c:v>105.5</c:v>
                </c:pt>
                <c:pt idx="1">
                  <c:v>174.63333333333333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B-4201-B7D9-F8E5855606CA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Performance!$B$143:$B$144</c:f>
              <c:strCache>
                <c:ptCount val="2"/>
                <c:pt idx="0">
                  <c:v>Average FPS</c:v>
                </c:pt>
                <c:pt idx="1">
                  <c:v>Max FPS</c:v>
                </c:pt>
              </c:strCache>
            </c:strRef>
          </c:cat>
          <c:val>
            <c:numRef>
              <c:f>Performance!$L$143:$L$144</c:f>
              <c:numCache>
                <c:formatCode>0</c:formatCode>
                <c:ptCount val="2"/>
                <c:pt idx="0">
                  <c:v>111.26666666666665</c:v>
                </c:pt>
                <c:pt idx="1">
                  <c:v>188.20000000000002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B-4201-B7D9-F8E5855606CA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Performance!$B$143:$B$144</c:f>
              <c:strCache>
                <c:ptCount val="2"/>
                <c:pt idx="0">
                  <c:v>Average FPS</c:v>
                </c:pt>
                <c:pt idx="1">
                  <c:v>Max FPS</c:v>
                </c:pt>
              </c:strCache>
            </c:strRef>
          </c:cat>
          <c:val>
            <c:numRef>
              <c:f>Performance!$Q$143:$Q$144</c:f>
              <c:numCache>
                <c:formatCode>0</c:formatCode>
                <c:ptCount val="2"/>
                <c:pt idx="0">
                  <c:v>120.93333333333332</c:v>
                </c:pt>
                <c:pt idx="1">
                  <c:v>182.63333333333333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FB-4201-B7D9-F8E5855606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7648"/>
        <c:axId val="884300912"/>
      </c:barChart>
      <c:catAx>
        <c:axId val="8842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912"/>
        <c:crosses val="autoZero"/>
        <c:auto val="1"/>
        <c:lblAlgn val="ctr"/>
        <c:lblOffset val="100"/>
        <c:noMultiLvlLbl val="0"/>
      </c:catAx>
      <c:valAx>
        <c:axId val="884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bc81e6-f90c-406b-900a-87aca13304b5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SotTR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4K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Performance!$B$147:$B$148</c:f>
              <c:strCache>
                <c:ptCount val="2"/>
                <c:pt idx="0">
                  <c:v>Average FPS</c:v>
                </c:pt>
                <c:pt idx="1">
                  <c:v>Max FPS</c:v>
                </c:pt>
              </c:strCache>
            </c:strRef>
          </c:cat>
          <c:val>
            <c:numRef>
              <c:f>Performance!$G$147:$G$148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F-4371-B430-53B0B8103747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Performance!$B$147:$B$148</c:f>
              <c:strCache>
                <c:ptCount val="2"/>
                <c:pt idx="0">
                  <c:v>Average FPS</c:v>
                </c:pt>
                <c:pt idx="1">
                  <c:v>Max FPS</c:v>
                </c:pt>
              </c:strCache>
            </c:strRef>
          </c:cat>
          <c:val>
            <c:numRef>
              <c:f>Performance!$L$147:$L$148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F-4371-B430-53B0B8103747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Performance!$B$147:$B$148</c:f>
              <c:strCache>
                <c:ptCount val="2"/>
                <c:pt idx="0">
                  <c:v>Average FPS</c:v>
                </c:pt>
                <c:pt idx="1">
                  <c:v>Max FPS</c:v>
                </c:pt>
              </c:strCache>
            </c:strRef>
          </c:cat>
          <c:val>
            <c:numRef>
              <c:f>Performance!$Q$147:$Q$148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F-4371-B430-53B0B81037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7440"/>
        <c:axId val="884301456"/>
      </c:barChart>
      <c:catAx>
        <c:axId val="8843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1456"/>
        <c:crosses val="autoZero"/>
        <c:auto val="1"/>
        <c:lblAlgn val="ctr"/>
        <c:lblOffset val="100"/>
        <c:noMultiLvlLbl val="0"/>
      </c:catAx>
      <c:valAx>
        <c:axId val="884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d6f4a9-bf7c-49cb-af20-dc16135f2ab2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RDR2 - MSHybrid - MSHybrid (Auto Mode)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Performance!$B$150:$B$152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Performance!$G$150:$G$152</c:f>
              <c:numCache>
                <c:formatCode>0</c:formatCode>
                <c:ptCount val="3"/>
                <c:pt idx="0">
                  <c:v>97.466666666666654</c:v>
                </c:pt>
                <c:pt idx="1">
                  <c:v>32.333333333333336</c:v>
                </c:pt>
                <c:pt idx="2">
                  <c:v>121.5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6-4FD5-A1CB-57C6DC5B92F7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Performance!$B$150:$B$152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Performance!$L$150:$L$152</c:f>
              <c:numCache>
                <c:formatCode>0</c:formatCode>
                <c:ptCount val="3"/>
                <c:pt idx="0">
                  <c:v>101.09999999999998</c:v>
                </c:pt>
                <c:pt idx="1">
                  <c:v>33.166666666666664</c:v>
                </c:pt>
                <c:pt idx="2">
                  <c:v>128.1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6-4FD5-A1CB-57C6DC5B92F7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Performance!$B$150:$B$152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Performance!$Q$150:$Q$152</c:f>
              <c:numCache>
                <c:formatCode>0</c:formatCode>
                <c:ptCount val="3"/>
                <c:pt idx="0">
                  <c:v>107.13333333333333</c:v>
                </c:pt>
                <c:pt idx="1">
                  <c:v>24.133333333333336</c:v>
                </c:pt>
                <c:pt idx="2">
                  <c:v>140.46666666666667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C6-4FD5-A1CB-57C6DC5B92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ffd69a-207c-4bdf-a78d-a525661889f2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RDR2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Performance!$B$153:$B$155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Performance!$G$153:$G$155</c:f>
              <c:numCache>
                <c:formatCode>0</c:formatCode>
                <c:ptCount val="3"/>
                <c:pt idx="0">
                  <c:v>72.2</c:v>
                </c:pt>
                <c:pt idx="1">
                  <c:v>18.033333333333331</c:v>
                </c:pt>
                <c:pt idx="2">
                  <c:v>147.1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E-4589-AF2A-6EA3AF351F06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Performance!$B$153:$B$155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Performance!$L$153:$L$155</c:f>
              <c:numCache>
                <c:formatCode>0</c:formatCode>
                <c:ptCount val="3"/>
                <c:pt idx="0">
                  <c:v>78.466666666666654</c:v>
                </c:pt>
                <c:pt idx="1">
                  <c:v>20.166666666666668</c:v>
                </c:pt>
                <c:pt idx="2">
                  <c:v>140.9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E-4589-AF2A-6EA3AF351F06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Performance!$B$153:$B$155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Performance!$Q$153:$Q$155</c:f>
              <c:numCache>
                <c:formatCode>0</c:formatCode>
                <c:ptCount val="3"/>
                <c:pt idx="0">
                  <c:v>84.353333333333339</c:v>
                </c:pt>
                <c:pt idx="1">
                  <c:v>36.43333333333333</c:v>
                </c:pt>
                <c:pt idx="2">
                  <c:v>111.3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AE-4589-AF2A-6EA3AF351F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7648"/>
        <c:axId val="884300912"/>
      </c:barChart>
      <c:catAx>
        <c:axId val="8842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912"/>
        <c:crosses val="autoZero"/>
        <c:auto val="1"/>
        <c:lblAlgn val="ctr"/>
        <c:lblOffset val="100"/>
        <c:noMultiLvlLbl val="0"/>
      </c:catAx>
      <c:valAx>
        <c:axId val="884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7fe72c-21b9-4178-bc04-903e0af2077e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RDR2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4K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Performance!$B$159:$B$161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Performance!$G$159:$G$161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C-4861-B421-7BD43F0C4446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Performance!$B$159:$B$161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Performance!$L$159:$L$161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C-4861-B421-7BD43F0C4446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Performance!$B$159:$B$161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Performance!$Q$159:$Q$161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C-4861-B421-7BD43F0C44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7440"/>
        <c:axId val="884301456"/>
      </c:barChart>
      <c:catAx>
        <c:axId val="8843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1456"/>
        <c:crosses val="autoZero"/>
        <c:auto val="1"/>
        <c:lblAlgn val="ctr"/>
        <c:lblOffset val="100"/>
        <c:noMultiLvlLbl val="0"/>
      </c:catAx>
      <c:valAx>
        <c:axId val="884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8e4199-76de-45a2-93f0-12787033211f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Assassin's Creed Valhalla - MSHybrid - MSHybrid (Auto Mode)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D8D-4D53-862B-06147677A3FD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D8D-4D53-862B-06147677A3FD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D8D-4D53-862B-06147677A3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aa1b3a-e382-4279-9483-af83de64b2f4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Assassin's Creed Valhalla 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3C5-4593-BDF3-B8CE50FDE443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3C5-4593-BDF3-B8CE50FDE443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3C5-4593-BDF3-B8CE50FDE4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7648"/>
        <c:axId val="884300912"/>
      </c:barChart>
      <c:catAx>
        <c:axId val="8842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912"/>
        <c:crosses val="autoZero"/>
        <c:auto val="1"/>
        <c:lblAlgn val="ctr"/>
        <c:lblOffset val="100"/>
        <c:noMultiLvlLbl val="0"/>
      </c:catAx>
      <c:valAx>
        <c:axId val="884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fbf449-b41b-4a75-8cd3-182bc19df896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Assassin's Creed Valhalla 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4K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F20-45F9-9576-0AC0DF821126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F20-45F9-9576-0AC0DF821126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Performance!#REF!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Performance!#REF!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F20-45F9-9576-0AC0DF8211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7440"/>
        <c:axId val="884301456"/>
      </c:barChart>
      <c:catAx>
        <c:axId val="8843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1456"/>
        <c:crosses val="autoZero"/>
        <c:auto val="1"/>
        <c:lblAlgn val="ctr"/>
        <c:lblOffset val="100"/>
        <c:noMultiLvlLbl val="0"/>
      </c:catAx>
      <c:valAx>
        <c:axId val="884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955f23-97fa-4687-9c8f-aeafdb8fb7bb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Forza Horizon 5 - MSHybrid - MSHybrid (Auto Mode)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Performance!$B$163:$B$165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Performance!$G$163:$G$165</c:f>
              <c:numCache>
                <c:formatCode>0</c:formatCode>
                <c:ptCount val="3"/>
                <c:pt idx="0">
                  <c:v>155.56666666666663</c:v>
                </c:pt>
                <c:pt idx="1">
                  <c:v>130.5</c:v>
                </c:pt>
                <c:pt idx="2">
                  <c:v>191.13333333333333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F-4F1A-BE10-65C0FD824FDA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Performance!$B$163:$B$165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Performance!$L$163:$L$165</c:f>
              <c:numCache>
                <c:formatCode>0</c:formatCode>
                <c:ptCount val="3"/>
                <c:pt idx="0">
                  <c:v>171.29999999999998</c:v>
                </c:pt>
                <c:pt idx="1">
                  <c:v>146.39999999999998</c:v>
                </c:pt>
                <c:pt idx="2">
                  <c:v>209.4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F-4F1A-BE10-65C0FD824FDA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Performance!$B$163:$B$165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Performance!$Q$163:$Q$165</c:f>
              <c:numCache>
                <c:formatCode>0</c:formatCode>
                <c:ptCount val="3"/>
                <c:pt idx="0">
                  <c:v>180.20000000000002</c:v>
                </c:pt>
                <c:pt idx="1">
                  <c:v>156.86666666666667</c:v>
                </c:pt>
                <c:pt idx="2">
                  <c:v>215.29999999999998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F-4F1A-BE10-65C0FD824F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41b5df-e388-4f96-a00e-da962bf8f1a9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Forza Horizon 5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2K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Performance!$B$166:$B$168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Performance!$G$166:$G$168</c:f>
              <c:numCache>
                <c:formatCode>0</c:formatCode>
                <c:ptCount val="3"/>
                <c:pt idx="0">
                  <c:v>130.19999999999999</c:v>
                </c:pt>
                <c:pt idx="1">
                  <c:v>109.13333333333333</c:v>
                </c:pt>
                <c:pt idx="2">
                  <c:v>155.03333333333333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9-4D73-BC35-999B6713366B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Performance!$B$166:$B$168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Performance!$L$166:$L$168</c:f>
              <c:numCache>
                <c:formatCode>0</c:formatCode>
                <c:ptCount val="3"/>
                <c:pt idx="0">
                  <c:v>139.16666666666666</c:v>
                </c:pt>
                <c:pt idx="1">
                  <c:v>121.56666666666666</c:v>
                </c:pt>
                <c:pt idx="2">
                  <c:v>164.03333333333333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9-4D73-BC35-999B6713366B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Performance!$B$166:$B$168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Performance!$Q$166:$Q$168</c:f>
              <c:numCache>
                <c:formatCode>0</c:formatCode>
                <c:ptCount val="3"/>
                <c:pt idx="0">
                  <c:v>154.23333333333332</c:v>
                </c:pt>
                <c:pt idx="1">
                  <c:v>133.23333333333335</c:v>
                </c:pt>
                <c:pt idx="2">
                  <c:v>182.46666666666667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9-4D73-BC35-999B671336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297648"/>
        <c:axId val="884300912"/>
      </c:barChart>
      <c:catAx>
        <c:axId val="8842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0912"/>
        <c:crosses val="autoZero"/>
        <c:auto val="1"/>
        <c:lblAlgn val="ctr"/>
        <c:lblOffset val="100"/>
        <c:noMultiLvlLbl val="0"/>
      </c:catAx>
      <c:valAx>
        <c:axId val="8843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2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0d2dcb-2118-46f1-97f0-e528186ef041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Forza Horizon 5 </a:t>
            </a:r>
            <a:r>
              <a:rPr lang="en-US" altLang="zh-TW" sz="1400" b="0" i="0" u="none" strike="noStrike" baseline="0">
                <a:effectLst/>
              </a:rPr>
              <a:t>- </a:t>
            </a:r>
            <a:r>
              <a:rPr lang="en-US" sz="1400" b="0" i="0" u="none" strike="noStrike" baseline="0">
                <a:effectLst/>
              </a:rPr>
              <a:t>MSHybrid (Auto Mode) </a:t>
            </a:r>
            <a:r>
              <a:rPr lang="en-US" altLang="zh-TW" sz="1400" b="0" i="0" u="none" strike="noStrike" baseline="0">
                <a:effectLst/>
              </a:rPr>
              <a:t> - </a:t>
            </a:r>
            <a:r>
              <a:rPr lang="en-US"/>
              <a:t>4K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Silent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Performance!$B$172:$B$174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Performance!$G$172:$G$174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9-423C-B9DD-DEBB55F61963}"/>
            </c:ext>
          </c:extLst>
        </c:ser>
        <c:ser>
          <c:idx val="1"/>
          <c:order val="1"/>
          <c:tx>
            <c:v>Performance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Performance!$B$172:$B$174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Performance!$L$172:$L$174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9-423C-B9DD-DEBB55F61963}"/>
            </c:ext>
          </c:extLst>
        </c:ser>
        <c:ser>
          <c:idx val="2"/>
          <c:order val="2"/>
          <c:tx>
            <c:v>Turbo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Performance!$B$172:$B$174</c:f>
              <c:strCache>
                <c:ptCount val="3"/>
                <c:pt idx="0">
                  <c:v>Average FPS</c:v>
                </c:pt>
                <c:pt idx="1">
                  <c:v>Min FPS</c:v>
                </c:pt>
                <c:pt idx="2">
                  <c:v>Max FPS</c:v>
                </c:pt>
              </c:strCache>
            </c:strRef>
          </c:cat>
          <c:val>
            <c:numRef>
              <c:f>Performance!$Q$172:$Q$174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99-423C-B9DD-DEBB55F619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7440"/>
        <c:axId val="884301456"/>
      </c:barChart>
      <c:catAx>
        <c:axId val="88430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1456"/>
        <c:crosses val="autoZero"/>
        <c:auto val="1"/>
        <c:lblAlgn val="ctr"/>
        <c:lblOffset val="100"/>
        <c:noMultiLvlLbl val="0"/>
      </c:catAx>
      <c:valAx>
        <c:axId val="884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7b5f22-cb89-4507-8b58-0e69d02a34c3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Pugetbench</a:t>
            </a:r>
            <a:r>
              <a:rPr lang="en-US" baseline="0"/>
              <a:t> Photoshop</a:t>
            </a:r>
            <a:r>
              <a:rPr lang="en-US"/>
              <a:t>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2FB-428D-856B-6294BAE227B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2FB-428D-856B-6294BAE227B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2FB-428D-856B-6294BAE227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2544"/>
        <c:axId val="884305264"/>
      </c:barChart>
      <c:catAx>
        <c:axId val="88430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5264"/>
        <c:crosses val="autoZero"/>
        <c:auto val="1"/>
        <c:lblAlgn val="ctr"/>
        <c:lblOffset val="100"/>
        <c:noMultiLvlLbl val="0"/>
      </c:catAx>
      <c:valAx>
        <c:axId val="88430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aa2eb9-3a1f-46cb-b380-378e76fb17a6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Pugetbench</a:t>
            </a:r>
            <a:r>
              <a:rPr lang="en-US" baseline="0"/>
              <a:t> Lightroom</a:t>
            </a:r>
            <a:r>
              <a:rPr lang="en-US"/>
              <a:t>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5B1-438A-ADAE-7570D700373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5B1-438A-ADAE-7570D700373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5B1-438A-ADAE-7570D70037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2544"/>
        <c:axId val="884305264"/>
      </c:barChart>
      <c:catAx>
        <c:axId val="88430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5264"/>
        <c:crosses val="autoZero"/>
        <c:auto val="1"/>
        <c:lblAlgn val="ctr"/>
        <c:lblOffset val="100"/>
        <c:noMultiLvlLbl val="0"/>
      </c:catAx>
      <c:valAx>
        <c:axId val="88430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d0f95a-3a27-4940-8ca9-2b16a6c2ca42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Pugetbench</a:t>
            </a:r>
            <a:r>
              <a:rPr lang="en-US" baseline="0"/>
              <a:t> Premiere Pro</a:t>
            </a:r>
            <a:r>
              <a:rPr lang="en-US"/>
              <a:t>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B2-4E42-97C0-D38D699A5B5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0B2-4E42-97C0-D38D699A5B5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0B2-4E42-97C0-D38D699A5B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2544"/>
        <c:axId val="884305264"/>
      </c:barChart>
      <c:catAx>
        <c:axId val="88430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5264"/>
        <c:crosses val="autoZero"/>
        <c:auto val="1"/>
        <c:lblAlgn val="ctr"/>
        <c:lblOffset val="100"/>
        <c:noMultiLvlLbl val="0"/>
      </c:catAx>
      <c:valAx>
        <c:axId val="88430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63ab02-acb4-4065-86ea-c3a00a74df5b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Pugetbench</a:t>
            </a:r>
            <a:r>
              <a:rPr lang="en-US" baseline="0"/>
              <a:t> After Effects</a:t>
            </a:r>
            <a:r>
              <a:rPr lang="en-US"/>
              <a:t>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C02-4C61-B2FF-527EE169115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C02-4C61-B2FF-527EE169115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C02-4C61-B2FF-527EE16911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2544"/>
        <c:axId val="884305264"/>
      </c:barChart>
      <c:catAx>
        <c:axId val="88430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5264"/>
        <c:crosses val="autoZero"/>
        <c:auto val="1"/>
        <c:lblAlgn val="ctr"/>
        <c:lblOffset val="100"/>
        <c:noMultiLvlLbl val="0"/>
      </c:catAx>
      <c:valAx>
        <c:axId val="88430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3ebe50-c0fe-4334-97dd-c96185e27d8e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Specviewperf</a:t>
            </a:r>
            <a:r>
              <a:rPr lang="en-US" baseline="0"/>
              <a:t> Maya</a:t>
            </a:r>
            <a:r>
              <a:rPr lang="en-US"/>
              <a:t>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C10-46F2-B664-E5C8DF02C39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C10-46F2-B664-E5C8DF02C39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C10-46F2-B664-E5C8DF02C3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2544"/>
        <c:axId val="884305264"/>
      </c:barChart>
      <c:catAx>
        <c:axId val="88430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5264"/>
        <c:crosses val="autoZero"/>
        <c:auto val="1"/>
        <c:lblAlgn val="ctr"/>
        <c:lblOffset val="100"/>
        <c:noMultiLvlLbl val="0"/>
      </c:catAx>
      <c:valAx>
        <c:axId val="88430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76bcea-df54-4fdb-9ca6-588e1bcdf438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Specviewperf</a:t>
            </a:r>
            <a:r>
              <a:rPr lang="en-US" baseline="0"/>
              <a:t> Solidworks</a:t>
            </a:r>
            <a:r>
              <a:rPr lang="en-US"/>
              <a:t> - MSHybrid (Auto Mode)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820-49EE-B258-BA399107713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820-49EE-B258-BA399107713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820-49EE-B258-BA39910771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84302544"/>
        <c:axId val="884305264"/>
      </c:barChart>
      <c:catAx>
        <c:axId val="88430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5264"/>
        <c:crosses val="autoZero"/>
        <c:auto val="1"/>
        <c:lblAlgn val="ctr"/>
        <c:lblOffset val="100"/>
        <c:noMultiLvlLbl val="0"/>
      </c:catAx>
      <c:valAx>
        <c:axId val="88430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43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b28bbd-ce8a-44e3-8672-5241053ed1b0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Far Cry 6 - MSHybrid - iGPU Medium Settings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A74-4847-8E95-A29D49784F2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A74-4847-8E95-A29D49784F2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A74-4847-8E95-A29D49784F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69a6f8-c524-4e36-9cfb-a312f7d0287d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Rainbow Six Siege - MSHybrid - iGPU Medium Settings - 1080p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C66-428A-B22B-A1FEA7F05E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C66-428A-B22B-A1FEA7F05ED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C66-428A-B22B-A1FEA7F05E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299040"/>
        <c:axId val="830306656"/>
      </c:barChart>
      <c:catAx>
        <c:axId val="8302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6656"/>
        <c:crosses val="autoZero"/>
        <c:auto val="1"/>
        <c:lblAlgn val="ctr"/>
        <c:lblOffset val="100"/>
        <c:noMultiLvlLbl val="0"/>
      </c:catAx>
      <c:valAx>
        <c:axId val="830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2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82ca98-94ce-4af1-9559-778954acd26a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3DMark Time Spy - </a:t>
            </a:r>
            <a:r>
              <a:rPr lang="en-US" sz="1400" b="0" i="0" u="none" strike="noStrike" baseline="0">
                <a:effectLst/>
              </a:rPr>
              <a:t>- iGPU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50D-44AE-883F-29E0CCE4A9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50D-44AE-883F-29E0CCE4A98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Graphs!#REF!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50D-44AE-883F-29E0CCE4A9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30"/>
        <c:axId val="830308832"/>
        <c:axId val="830302304"/>
      </c:barChart>
      <c:catAx>
        <c:axId val="83030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2304"/>
        <c:crosses val="autoZero"/>
        <c:auto val="1"/>
        <c:lblAlgn val="ctr"/>
        <c:lblOffset val="100"/>
        <c:noMultiLvlLbl val="0"/>
      </c:catAx>
      <c:valAx>
        <c:axId val="83030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030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50d530-d2a7-4473-ad3f-b4cc0c0506ae}"/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8.xml"/><Relationship Id="rId18" Type="http://schemas.openxmlformats.org/officeDocument/2006/relationships/chart" Target="../charts/chart33.xml"/><Relationship Id="rId26" Type="http://schemas.openxmlformats.org/officeDocument/2006/relationships/chart" Target="../charts/chart41.xml"/><Relationship Id="rId39" Type="http://schemas.openxmlformats.org/officeDocument/2006/relationships/chart" Target="../charts/chart54.xml"/><Relationship Id="rId21" Type="http://schemas.openxmlformats.org/officeDocument/2006/relationships/chart" Target="../charts/chart36.xml"/><Relationship Id="rId34" Type="http://schemas.openxmlformats.org/officeDocument/2006/relationships/chart" Target="../charts/chart49.xml"/><Relationship Id="rId42" Type="http://schemas.openxmlformats.org/officeDocument/2006/relationships/chart" Target="../charts/chart57.xml"/><Relationship Id="rId47" Type="http://schemas.openxmlformats.org/officeDocument/2006/relationships/chart" Target="../charts/chart62.xml"/><Relationship Id="rId50" Type="http://schemas.openxmlformats.org/officeDocument/2006/relationships/chart" Target="../charts/chart65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6" Type="http://schemas.openxmlformats.org/officeDocument/2006/relationships/chart" Target="../charts/chart31.xml"/><Relationship Id="rId29" Type="http://schemas.openxmlformats.org/officeDocument/2006/relationships/chart" Target="../charts/chart44.xml"/><Relationship Id="rId11" Type="http://schemas.openxmlformats.org/officeDocument/2006/relationships/chart" Target="../charts/chart26.xml"/><Relationship Id="rId24" Type="http://schemas.openxmlformats.org/officeDocument/2006/relationships/chart" Target="../charts/chart39.xml"/><Relationship Id="rId32" Type="http://schemas.openxmlformats.org/officeDocument/2006/relationships/chart" Target="../charts/chart47.xml"/><Relationship Id="rId37" Type="http://schemas.openxmlformats.org/officeDocument/2006/relationships/chart" Target="../charts/chart52.xml"/><Relationship Id="rId40" Type="http://schemas.openxmlformats.org/officeDocument/2006/relationships/chart" Target="../charts/chart55.xml"/><Relationship Id="rId45" Type="http://schemas.openxmlformats.org/officeDocument/2006/relationships/chart" Target="../charts/chart60.xml"/><Relationship Id="rId53" Type="http://schemas.openxmlformats.org/officeDocument/2006/relationships/chart" Target="../charts/chart68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19" Type="http://schemas.openxmlformats.org/officeDocument/2006/relationships/chart" Target="../charts/chart34.xml"/><Relationship Id="rId31" Type="http://schemas.openxmlformats.org/officeDocument/2006/relationships/chart" Target="../charts/chart46.xml"/><Relationship Id="rId44" Type="http://schemas.openxmlformats.org/officeDocument/2006/relationships/chart" Target="../charts/chart59.xml"/><Relationship Id="rId52" Type="http://schemas.openxmlformats.org/officeDocument/2006/relationships/chart" Target="../charts/chart67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Relationship Id="rId22" Type="http://schemas.openxmlformats.org/officeDocument/2006/relationships/chart" Target="../charts/chart37.xml"/><Relationship Id="rId27" Type="http://schemas.openxmlformats.org/officeDocument/2006/relationships/chart" Target="../charts/chart42.xml"/><Relationship Id="rId30" Type="http://schemas.openxmlformats.org/officeDocument/2006/relationships/chart" Target="../charts/chart45.xml"/><Relationship Id="rId35" Type="http://schemas.openxmlformats.org/officeDocument/2006/relationships/chart" Target="../charts/chart50.xml"/><Relationship Id="rId43" Type="http://schemas.openxmlformats.org/officeDocument/2006/relationships/chart" Target="../charts/chart58.xml"/><Relationship Id="rId48" Type="http://schemas.openxmlformats.org/officeDocument/2006/relationships/chart" Target="../charts/chart63.xml"/><Relationship Id="rId8" Type="http://schemas.openxmlformats.org/officeDocument/2006/relationships/chart" Target="../charts/chart23.xml"/><Relationship Id="rId51" Type="http://schemas.openxmlformats.org/officeDocument/2006/relationships/chart" Target="../charts/chart66.xml"/><Relationship Id="rId3" Type="http://schemas.openxmlformats.org/officeDocument/2006/relationships/chart" Target="../charts/chart18.xml"/><Relationship Id="rId12" Type="http://schemas.openxmlformats.org/officeDocument/2006/relationships/chart" Target="../charts/chart27.xml"/><Relationship Id="rId17" Type="http://schemas.openxmlformats.org/officeDocument/2006/relationships/chart" Target="../charts/chart32.xml"/><Relationship Id="rId25" Type="http://schemas.openxmlformats.org/officeDocument/2006/relationships/chart" Target="../charts/chart40.xml"/><Relationship Id="rId33" Type="http://schemas.openxmlformats.org/officeDocument/2006/relationships/chart" Target="../charts/chart48.xml"/><Relationship Id="rId38" Type="http://schemas.openxmlformats.org/officeDocument/2006/relationships/chart" Target="../charts/chart53.xml"/><Relationship Id="rId46" Type="http://schemas.openxmlformats.org/officeDocument/2006/relationships/chart" Target="../charts/chart61.xml"/><Relationship Id="rId20" Type="http://schemas.openxmlformats.org/officeDocument/2006/relationships/chart" Target="../charts/chart35.xml"/><Relationship Id="rId41" Type="http://schemas.openxmlformats.org/officeDocument/2006/relationships/chart" Target="../charts/chart56.xml"/><Relationship Id="rId54" Type="http://schemas.openxmlformats.org/officeDocument/2006/relationships/chart" Target="../charts/chart69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5" Type="http://schemas.openxmlformats.org/officeDocument/2006/relationships/chart" Target="../charts/chart30.xml"/><Relationship Id="rId23" Type="http://schemas.openxmlformats.org/officeDocument/2006/relationships/chart" Target="../charts/chart38.xml"/><Relationship Id="rId28" Type="http://schemas.openxmlformats.org/officeDocument/2006/relationships/chart" Target="../charts/chart43.xml"/><Relationship Id="rId36" Type="http://schemas.openxmlformats.org/officeDocument/2006/relationships/chart" Target="../charts/chart51.xml"/><Relationship Id="rId49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57967</xdr:colOff>
      <xdr:row>2</xdr:row>
      <xdr:rowOff>3175</xdr:rowOff>
    </xdr:from>
    <xdr:to>
      <xdr:col>21</xdr:col>
      <xdr:colOff>400867</xdr:colOff>
      <xdr:row>21</xdr:row>
      <xdr:rowOff>127545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32</xdr:col>
      <xdr:colOff>798740</xdr:colOff>
      <xdr:row>1</xdr:row>
      <xdr:rowOff>98424</xdr:rowOff>
    </xdr:from>
    <xdr:to>
      <xdr:col>38</xdr:col>
      <xdr:colOff>288744</xdr:colOff>
      <xdr:row>21</xdr:row>
      <xdr:rowOff>45901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12</xdr:col>
      <xdr:colOff>57967</xdr:colOff>
      <xdr:row>27</xdr:row>
      <xdr:rowOff>114754</xdr:rowOff>
    </xdr:from>
    <xdr:to>
      <xdr:col>21</xdr:col>
      <xdr:colOff>400867</xdr:colOff>
      <xdr:row>46</xdr:row>
      <xdr:rowOff>152854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32</xdr:col>
      <xdr:colOff>762000</xdr:colOff>
      <xdr:row>27</xdr:row>
      <xdr:rowOff>60325</xdr:rowOff>
    </xdr:from>
    <xdr:to>
      <xdr:col>38</xdr:col>
      <xdr:colOff>252004</xdr:colOff>
      <xdr:row>46</xdr:row>
      <xdr:rowOff>98425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11</xdr:col>
      <xdr:colOff>423183</xdr:colOff>
      <xdr:row>50</xdr:row>
      <xdr:rowOff>324303</xdr:rowOff>
    </xdr:from>
    <xdr:to>
      <xdr:col>21</xdr:col>
      <xdr:colOff>198665</xdr:colOff>
      <xdr:row>70</xdr:row>
      <xdr:rowOff>99785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32</xdr:col>
      <xdr:colOff>666750</xdr:colOff>
      <xdr:row>50</xdr:row>
      <xdr:rowOff>229053</xdr:rowOff>
    </xdr:from>
    <xdr:to>
      <xdr:col>38</xdr:col>
      <xdr:colOff>156754</xdr:colOff>
      <xdr:row>69</xdr:row>
      <xdr:rowOff>195035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12</xdr:col>
      <xdr:colOff>57967</xdr:colOff>
      <xdr:row>75</xdr:row>
      <xdr:rowOff>35016</xdr:rowOff>
    </xdr:from>
    <xdr:to>
      <xdr:col>21</xdr:col>
      <xdr:colOff>400867</xdr:colOff>
      <xdr:row>94</xdr:row>
      <xdr:rowOff>73116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32</xdr:col>
      <xdr:colOff>923109</xdr:colOff>
      <xdr:row>75</xdr:row>
      <xdr:rowOff>151493</xdr:rowOff>
    </xdr:from>
    <xdr:to>
      <xdr:col>38</xdr:col>
      <xdr:colOff>413113</xdr:colOff>
      <xdr:row>94</xdr:row>
      <xdr:rowOff>189593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24</xdr:col>
      <xdr:colOff>148318</xdr:colOff>
      <xdr:row>1</xdr:row>
      <xdr:rowOff>102597</xdr:rowOff>
    </xdr:from>
    <xdr:to>
      <xdr:col>31</xdr:col>
      <xdr:colOff>350520</xdr:colOff>
      <xdr:row>21</xdr:row>
      <xdr:rowOff>48169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24</xdr:col>
      <xdr:colOff>53069</xdr:colOff>
      <xdr:row>27</xdr:row>
      <xdr:rowOff>69940</xdr:rowOff>
    </xdr:from>
    <xdr:to>
      <xdr:col>31</xdr:col>
      <xdr:colOff>255271</xdr:colOff>
      <xdr:row>46</xdr:row>
      <xdr:rowOff>108040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23</xdr:col>
      <xdr:colOff>498023</xdr:colOff>
      <xdr:row>50</xdr:row>
      <xdr:rowOff>225062</xdr:rowOff>
    </xdr:from>
    <xdr:to>
      <xdr:col>31</xdr:col>
      <xdr:colOff>130902</xdr:colOff>
      <xdr:row>69</xdr:row>
      <xdr:rowOff>189139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24</xdr:col>
      <xdr:colOff>53068</xdr:colOff>
      <xdr:row>75</xdr:row>
      <xdr:rowOff>71301</xdr:rowOff>
    </xdr:from>
    <xdr:to>
      <xdr:col>31</xdr:col>
      <xdr:colOff>255270</xdr:colOff>
      <xdr:row>94</xdr:row>
      <xdr:rowOff>109401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1</xdr:row>
      <xdr:rowOff>6350</xdr:rowOff>
    </xdr:from>
    <xdr:to>
      <xdr:col>15</xdr:col>
      <xdr:colOff>399304</xdr:colOff>
      <xdr:row>20</xdr:row>
      <xdr:rowOff>110565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190501</xdr:colOff>
      <xdr:row>9</xdr:row>
      <xdr:rowOff>28576</xdr:rowOff>
    </xdr:from>
    <xdr:to>
      <xdr:col>5</xdr:col>
      <xdr:colOff>337186</xdr:colOff>
      <xdr:row>23</xdr:row>
      <xdr:rowOff>173839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685925"/>
          <a:ext cx="4210050" cy="2722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83820</xdr:colOff>
      <xdr:row>1</xdr:row>
      <xdr:rowOff>0</xdr:rowOff>
    </xdr:from>
    <xdr:to>
      <xdr:col>15</xdr:col>
      <xdr:colOff>131445</xdr:colOff>
      <xdr:row>16</xdr:row>
      <xdr:rowOff>53068</xdr:rowOff>
    </xdr:to>
    <xdr:graphicFrame macro="">
      <xdr:nvGraphicFramePr>
        <xdr:cNvPr id="7" name="Chart 1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121920</xdr:colOff>
      <xdr:row>17</xdr:row>
      <xdr:rowOff>257175</xdr:rowOff>
    </xdr:from>
    <xdr:to>
      <xdr:col>15</xdr:col>
      <xdr:colOff>169545</xdr:colOff>
      <xdr:row>29</xdr:row>
      <xdr:rowOff>119743</xdr:rowOff>
    </xdr:to>
    <xdr:graphicFrame macro="">
      <xdr:nvGraphicFramePr>
        <xdr:cNvPr id="3" name="Chart 1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</xdr:colOff>
      <xdr:row>81</xdr:row>
      <xdr:rowOff>152401</xdr:rowOff>
    </xdr:from>
    <xdr:to>
      <xdr:col>8</xdr:col>
      <xdr:colOff>166007</xdr:colOff>
      <xdr:row>101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19</xdr:col>
      <xdr:colOff>642257</xdr:colOff>
      <xdr:row>81</xdr:row>
      <xdr:rowOff>163286</xdr:rowOff>
    </xdr:from>
    <xdr:to>
      <xdr:col>27</xdr:col>
      <xdr:colOff>794657</xdr:colOff>
      <xdr:row>101</xdr:row>
      <xdr:rowOff>10886</xdr:rowOff>
    </xdr:to>
    <xdr:graphicFrame macro="">
      <xdr:nvGraphicFramePr>
        <xdr:cNvPr id="41" name="Chart 13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10</xdr:col>
      <xdr:colOff>48988</xdr:colOff>
      <xdr:row>81</xdr:row>
      <xdr:rowOff>168729</xdr:rowOff>
    </xdr:from>
    <xdr:to>
      <xdr:col>18</xdr:col>
      <xdr:colOff>201388</xdr:colOff>
      <xdr:row>101</xdr:row>
      <xdr:rowOff>16329</xdr:rowOff>
    </xdr:to>
    <xdr:graphicFrame macro="">
      <xdr:nvGraphicFramePr>
        <xdr:cNvPr id="42" name="Chart 17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0</xdr:colOff>
      <xdr:row>27</xdr:row>
      <xdr:rowOff>69272</xdr:rowOff>
    </xdr:from>
    <xdr:to>
      <xdr:col>8</xdr:col>
      <xdr:colOff>152400</xdr:colOff>
      <xdr:row>46</xdr:row>
      <xdr:rowOff>107372</xdr:rowOff>
    </xdr:to>
    <xdr:graphicFrame macro="">
      <xdr:nvGraphicFramePr>
        <xdr:cNvPr id="49" name="Chart 6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0</xdr:col>
      <xdr:colOff>121228</xdr:colOff>
      <xdr:row>108</xdr:row>
      <xdr:rowOff>121227</xdr:rowOff>
    </xdr:from>
    <xdr:to>
      <xdr:col>8</xdr:col>
      <xdr:colOff>273628</xdr:colOff>
      <xdr:row>127</xdr:row>
      <xdr:rowOff>159327</xdr:rowOff>
    </xdr:to>
    <xdr:graphicFrame macro="">
      <xdr:nvGraphicFramePr>
        <xdr:cNvPr id="51" name="Chart 7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9</xdr:col>
      <xdr:colOff>637064</xdr:colOff>
      <xdr:row>108</xdr:row>
      <xdr:rowOff>117515</xdr:rowOff>
    </xdr:from>
    <xdr:to>
      <xdr:col>18</xdr:col>
      <xdr:colOff>122714</xdr:colOff>
      <xdr:row>127</xdr:row>
      <xdr:rowOff>155615</xdr:rowOff>
    </xdr:to>
    <xdr:graphicFrame macro="">
      <xdr:nvGraphicFramePr>
        <xdr:cNvPr id="52" name="Chart 8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19</xdr:col>
      <xdr:colOff>585107</xdr:colOff>
      <xdr:row>108</xdr:row>
      <xdr:rowOff>136070</xdr:rowOff>
    </xdr:from>
    <xdr:to>
      <xdr:col>27</xdr:col>
      <xdr:colOff>737507</xdr:colOff>
      <xdr:row>128</xdr:row>
      <xdr:rowOff>2720</xdr:rowOff>
    </xdr:to>
    <xdr:graphicFrame macro="">
      <xdr:nvGraphicFramePr>
        <xdr:cNvPr id="54" name="Chart 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29</xdr:col>
      <xdr:colOff>5986</xdr:colOff>
      <xdr:row>108</xdr:row>
      <xdr:rowOff>122464</xdr:rowOff>
    </xdr:from>
    <xdr:to>
      <xdr:col>37</xdr:col>
      <xdr:colOff>158386</xdr:colOff>
      <xdr:row>127</xdr:row>
      <xdr:rowOff>160564</xdr:rowOff>
    </xdr:to>
    <xdr:graphicFrame macro="">
      <xdr:nvGraphicFramePr>
        <xdr:cNvPr id="55" name="Chart 10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0</xdr:col>
      <xdr:colOff>0</xdr:colOff>
      <xdr:row>0</xdr:row>
      <xdr:rowOff>133350</xdr:rowOff>
    </xdr:from>
    <xdr:to>
      <xdr:col>8</xdr:col>
      <xdr:colOff>152400</xdr:colOff>
      <xdr:row>20</xdr:row>
      <xdr:rowOff>0</xdr:rowOff>
    </xdr:to>
    <xdr:graphicFrame macro="">
      <xdr:nvGraphicFramePr>
        <xdr:cNvPr id="102" name="Chart 5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10</xdr:col>
      <xdr:colOff>199160</xdr:colOff>
      <xdr:row>0</xdr:row>
      <xdr:rowOff>138545</xdr:rowOff>
    </xdr:from>
    <xdr:to>
      <xdr:col>18</xdr:col>
      <xdr:colOff>351560</xdr:colOff>
      <xdr:row>19</xdr:row>
      <xdr:rowOff>167120</xdr:rowOff>
    </xdr:to>
    <xdr:graphicFrame macro="">
      <xdr:nvGraphicFramePr>
        <xdr:cNvPr id="103" name="Chart 45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0</xdr:col>
      <xdr:colOff>60614</xdr:colOff>
      <xdr:row>54</xdr:row>
      <xdr:rowOff>164523</xdr:rowOff>
    </xdr:from>
    <xdr:to>
      <xdr:col>8</xdr:col>
      <xdr:colOff>213014</xdr:colOff>
      <xdr:row>74</xdr:row>
      <xdr:rowOff>12123</xdr:rowOff>
    </xdr:to>
    <xdr:graphicFrame macro="">
      <xdr:nvGraphicFramePr>
        <xdr:cNvPr id="113" name="Chart 11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10</xdr:col>
      <xdr:colOff>17318</xdr:colOff>
      <xdr:row>54</xdr:row>
      <xdr:rowOff>164523</xdr:rowOff>
    </xdr:from>
    <xdr:to>
      <xdr:col>18</xdr:col>
      <xdr:colOff>169718</xdr:colOff>
      <xdr:row>74</xdr:row>
      <xdr:rowOff>12123</xdr:rowOff>
    </xdr:to>
    <xdr:graphicFrame macro="">
      <xdr:nvGraphicFramePr>
        <xdr:cNvPr id="114" name="Chart 12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10</xdr:col>
      <xdr:colOff>155862</xdr:colOff>
      <xdr:row>27</xdr:row>
      <xdr:rowOff>25975</xdr:rowOff>
    </xdr:from>
    <xdr:to>
      <xdr:col>18</xdr:col>
      <xdr:colOff>308262</xdr:colOff>
      <xdr:row>46</xdr:row>
      <xdr:rowOff>64075</xdr:rowOff>
    </xdr:to>
    <xdr:graphicFrame macro="">
      <xdr:nvGraphicFramePr>
        <xdr:cNvPr id="44" name="Chart 11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absolute">
    <xdr:from>
      <xdr:col>20</xdr:col>
      <xdr:colOff>8658</xdr:colOff>
      <xdr:row>27</xdr:row>
      <xdr:rowOff>30924</xdr:rowOff>
    </xdr:from>
    <xdr:to>
      <xdr:col>27</xdr:col>
      <xdr:colOff>827808</xdr:colOff>
      <xdr:row>46</xdr:row>
      <xdr:rowOff>69024</xdr:rowOff>
    </xdr:to>
    <xdr:graphicFrame macro="">
      <xdr:nvGraphicFramePr>
        <xdr:cNvPr id="45" name="Chart 11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absolute">
    <xdr:from>
      <xdr:col>28</xdr:col>
      <xdr:colOff>685799</xdr:colOff>
      <xdr:row>81</xdr:row>
      <xdr:rowOff>149679</xdr:rowOff>
    </xdr:from>
    <xdr:to>
      <xdr:col>37</xdr:col>
      <xdr:colOff>152399</xdr:colOff>
      <xdr:row>100</xdr:row>
      <xdr:rowOff>168729</xdr:rowOff>
    </xdr:to>
    <xdr:graphicFrame macro="">
      <xdr:nvGraphicFramePr>
        <xdr:cNvPr id="89" name="Chart 13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absolute">
    <xdr:from>
      <xdr:col>0</xdr:col>
      <xdr:colOff>0</xdr:colOff>
      <xdr:row>133</xdr:row>
      <xdr:rowOff>76200</xdr:rowOff>
    </xdr:from>
    <xdr:to>
      <xdr:col>8</xdr:col>
      <xdr:colOff>152400</xdr:colOff>
      <xdr:row>152</xdr:row>
      <xdr:rowOff>114300</xdr:rowOff>
    </xdr:to>
    <xdr:graphicFrame macro="">
      <xdr:nvGraphicFramePr>
        <xdr:cNvPr id="96" name="Chart 1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69396</xdr:colOff>
      <xdr:row>133</xdr:row>
      <xdr:rowOff>25854</xdr:rowOff>
    </xdr:from>
    <xdr:to>
      <xdr:col>27</xdr:col>
      <xdr:colOff>888546</xdr:colOff>
      <xdr:row>152</xdr:row>
      <xdr:rowOff>44904</xdr:rowOff>
    </xdr:to>
    <xdr:graphicFrame macro="">
      <xdr:nvGraphicFramePr>
        <xdr:cNvPr id="97" name="Chart 25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39</xdr:col>
      <xdr:colOff>142876</xdr:colOff>
      <xdr:row>133</xdr:row>
      <xdr:rowOff>3402</xdr:rowOff>
    </xdr:from>
    <xdr:to>
      <xdr:col>47</xdr:col>
      <xdr:colOff>295276</xdr:colOff>
      <xdr:row>152</xdr:row>
      <xdr:rowOff>41502</xdr:rowOff>
    </xdr:to>
    <xdr:graphicFrame macro="">
      <xdr:nvGraphicFramePr>
        <xdr:cNvPr id="99" name="Chart 26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absolute">
    <xdr:from>
      <xdr:col>9</xdr:col>
      <xdr:colOff>530680</xdr:colOff>
      <xdr:row>133</xdr:row>
      <xdr:rowOff>13607</xdr:rowOff>
    </xdr:from>
    <xdr:to>
      <xdr:col>18</xdr:col>
      <xdr:colOff>16330</xdr:colOff>
      <xdr:row>152</xdr:row>
      <xdr:rowOff>51707</xdr:rowOff>
    </xdr:to>
    <xdr:graphicFrame macro="">
      <xdr:nvGraphicFramePr>
        <xdr:cNvPr id="100" name="Chart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29</xdr:col>
      <xdr:colOff>149680</xdr:colOff>
      <xdr:row>132</xdr:row>
      <xdr:rowOff>161245</xdr:rowOff>
    </xdr:from>
    <xdr:to>
      <xdr:col>37</xdr:col>
      <xdr:colOff>302080</xdr:colOff>
      <xdr:row>152</xdr:row>
      <xdr:rowOff>27895</xdr:rowOff>
    </xdr:to>
    <xdr:graphicFrame macro="">
      <xdr:nvGraphicFramePr>
        <xdr:cNvPr id="104" name="Chart 2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49</xdr:col>
      <xdr:colOff>71438</xdr:colOff>
      <xdr:row>133</xdr:row>
      <xdr:rowOff>76200</xdr:rowOff>
    </xdr:from>
    <xdr:to>
      <xdr:col>57</xdr:col>
      <xdr:colOff>223838</xdr:colOff>
      <xdr:row>152</xdr:row>
      <xdr:rowOff>114300</xdr:rowOff>
    </xdr:to>
    <xdr:graphicFrame macro="">
      <xdr:nvGraphicFramePr>
        <xdr:cNvPr id="105" name="Chart 2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absolute">
    <xdr:from>
      <xdr:col>0</xdr:col>
      <xdr:colOff>119062</xdr:colOff>
      <xdr:row>157</xdr:row>
      <xdr:rowOff>98652</xdr:rowOff>
    </xdr:from>
    <xdr:to>
      <xdr:col>8</xdr:col>
      <xdr:colOff>271462</xdr:colOff>
      <xdr:row>176</xdr:row>
      <xdr:rowOff>136752</xdr:rowOff>
    </xdr:to>
    <xdr:graphicFrame macro="">
      <xdr:nvGraphicFramePr>
        <xdr:cNvPr id="106" name="Chart 1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140834</xdr:colOff>
      <xdr:row>157</xdr:row>
      <xdr:rowOff>91170</xdr:rowOff>
    </xdr:from>
    <xdr:to>
      <xdr:col>18</xdr:col>
      <xdr:colOff>269422</xdr:colOff>
      <xdr:row>176</xdr:row>
      <xdr:rowOff>119745</xdr:rowOff>
    </xdr:to>
    <xdr:graphicFrame macro="">
      <xdr:nvGraphicFramePr>
        <xdr:cNvPr id="107" name="Chart 25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20</xdr:col>
      <xdr:colOff>261939</xdr:colOff>
      <xdr:row>157</xdr:row>
      <xdr:rowOff>149680</xdr:rowOff>
    </xdr:from>
    <xdr:to>
      <xdr:col>27</xdr:col>
      <xdr:colOff>1104901</xdr:colOff>
      <xdr:row>177</xdr:row>
      <xdr:rowOff>16330</xdr:rowOff>
    </xdr:to>
    <xdr:graphicFrame macro="">
      <xdr:nvGraphicFramePr>
        <xdr:cNvPr id="108" name="Chart 26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absolute">
    <xdr:from>
      <xdr:col>0</xdr:col>
      <xdr:colOff>133350</xdr:colOff>
      <xdr:row>179</xdr:row>
      <xdr:rowOff>112257</xdr:rowOff>
    </xdr:from>
    <xdr:to>
      <xdr:col>8</xdr:col>
      <xdr:colOff>285750</xdr:colOff>
      <xdr:row>198</xdr:row>
      <xdr:rowOff>150357</xdr:rowOff>
    </xdr:to>
    <xdr:graphicFrame macro="">
      <xdr:nvGraphicFramePr>
        <xdr:cNvPr id="109" name="Chart 15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10</xdr:col>
      <xdr:colOff>155122</xdr:colOff>
      <xdr:row>179</xdr:row>
      <xdr:rowOff>104775</xdr:rowOff>
    </xdr:from>
    <xdr:to>
      <xdr:col>18</xdr:col>
      <xdr:colOff>283710</xdr:colOff>
      <xdr:row>198</xdr:row>
      <xdr:rowOff>133350</xdr:rowOff>
    </xdr:to>
    <xdr:graphicFrame macro="">
      <xdr:nvGraphicFramePr>
        <xdr:cNvPr id="110" name="Chart 25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20</xdr:col>
      <xdr:colOff>276227</xdr:colOff>
      <xdr:row>179</xdr:row>
      <xdr:rowOff>163285</xdr:rowOff>
    </xdr:from>
    <xdr:to>
      <xdr:col>27</xdr:col>
      <xdr:colOff>1119189</xdr:colOff>
      <xdr:row>199</xdr:row>
      <xdr:rowOff>29935</xdr:rowOff>
    </xdr:to>
    <xdr:graphicFrame macro="">
      <xdr:nvGraphicFramePr>
        <xdr:cNvPr id="111" name="Chart 26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absolute">
    <xdr:from>
      <xdr:col>0</xdr:col>
      <xdr:colOff>0</xdr:colOff>
      <xdr:row>201</xdr:row>
      <xdr:rowOff>64632</xdr:rowOff>
    </xdr:from>
    <xdr:to>
      <xdr:col>8</xdr:col>
      <xdr:colOff>152400</xdr:colOff>
      <xdr:row>221</xdr:row>
      <xdr:rowOff>1767</xdr:rowOff>
    </xdr:to>
    <xdr:graphicFrame macro="">
      <xdr:nvGraphicFramePr>
        <xdr:cNvPr id="112" name="Chart 1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10</xdr:col>
      <xdr:colOff>21772</xdr:colOff>
      <xdr:row>201</xdr:row>
      <xdr:rowOff>57150</xdr:rowOff>
    </xdr:from>
    <xdr:to>
      <xdr:col>18</xdr:col>
      <xdr:colOff>150360</xdr:colOff>
      <xdr:row>221</xdr:row>
      <xdr:rowOff>0</xdr:rowOff>
    </xdr:to>
    <xdr:graphicFrame macro="">
      <xdr:nvGraphicFramePr>
        <xdr:cNvPr id="115" name="Chart 25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142877</xdr:colOff>
      <xdr:row>201</xdr:row>
      <xdr:rowOff>115660</xdr:rowOff>
    </xdr:from>
    <xdr:to>
      <xdr:col>27</xdr:col>
      <xdr:colOff>985839</xdr:colOff>
      <xdr:row>221</xdr:row>
      <xdr:rowOff>48985</xdr:rowOff>
    </xdr:to>
    <xdr:graphicFrame macro="">
      <xdr:nvGraphicFramePr>
        <xdr:cNvPr id="116" name="Chart 26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absolute">
    <xdr:from>
      <xdr:col>0</xdr:col>
      <xdr:colOff>0</xdr:colOff>
      <xdr:row>223</xdr:row>
      <xdr:rowOff>17007</xdr:rowOff>
    </xdr:from>
    <xdr:to>
      <xdr:col>8</xdr:col>
      <xdr:colOff>152400</xdr:colOff>
      <xdr:row>242</xdr:row>
      <xdr:rowOff>93207</xdr:rowOff>
    </xdr:to>
    <xdr:graphicFrame macro="">
      <xdr:nvGraphicFramePr>
        <xdr:cNvPr id="119" name="Chart 15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10</xdr:col>
      <xdr:colOff>21772</xdr:colOff>
      <xdr:row>223</xdr:row>
      <xdr:rowOff>9525</xdr:rowOff>
    </xdr:from>
    <xdr:to>
      <xdr:col>18</xdr:col>
      <xdr:colOff>150360</xdr:colOff>
      <xdr:row>242</xdr:row>
      <xdr:rowOff>85725</xdr:rowOff>
    </xdr:to>
    <xdr:graphicFrame macro="">
      <xdr:nvGraphicFramePr>
        <xdr:cNvPr id="120" name="Chart 2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20</xdr:col>
      <xdr:colOff>142877</xdr:colOff>
      <xdr:row>223</xdr:row>
      <xdr:rowOff>68035</xdr:rowOff>
    </xdr:from>
    <xdr:to>
      <xdr:col>27</xdr:col>
      <xdr:colOff>985839</xdr:colOff>
      <xdr:row>242</xdr:row>
      <xdr:rowOff>144235</xdr:rowOff>
    </xdr:to>
    <xdr:graphicFrame macro="">
      <xdr:nvGraphicFramePr>
        <xdr:cNvPr id="123" name="Chart 26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absolute">
    <xdr:from>
      <xdr:col>0</xdr:col>
      <xdr:colOff>0</xdr:colOff>
      <xdr:row>244</xdr:row>
      <xdr:rowOff>93207</xdr:rowOff>
    </xdr:from>
    <xdr:to>
      <xdr:col>8</xdr:col>
      <xdr:colOff>152400</xdr:colOff>
      <xdr:row>263</xdr:row>
      <xdr:rowOff>169407</xdr:rowOff>
    </xdr:to>
    <xdr:graphicFrame macro="">
      <xdr:nvGraphicFramePr>
        <xdr:cNvPr id="124" name="Chart 15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10</xdr:col>
      <xdr:colOff>21772</xdr:colOff>
      <xdr:row>244</xdr:row>
      <xdr:rowOff>85725</xdr:rowOff>
    </xdr:from>
    <xdr:to>
      <xdr:col>18</xdr:col>
      <xdr:colOff>150360</xdr:colOff>
      <xdr:row>263</xdr:row>
      <xdr:rowOff>161925</xdr:rowOff>
    </xdr:to>
    <xdr:graphicFrame macro="">
      <xdr:nvGraphicFramePr>
        <xdr:cNvPr id="129" name="Chart 2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20</xdr:col>
      <xdr:colOff>142877</xdr:colOff>
      <xdr:row>244</xdr:row>
      <xdr:rowOff>144235</xdr:rowOff>
    </xdr:from>
    <xdr:to>
      <xdr:col>27</xdr:col>
      <xdr:colOff>985839</xdr:colOff>
      <xdr:row>263</xdr:row>
      <xdr:rowOff>210910</xdr:rowOff>
    </xdr:to>
    <xdr:graphicFrame macro="">
      <xdr:nvGraphicFramePr>
        <xdr:cNvPr id="130" name="Chart 26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absolute">
    <xdr:from>
      <xdr:col>0</xdr:col>
      <xdr:colOff>0</xdr:colOff>
      <xdr:row>263</xdr:row>
      <xdr:rowOff>598032</xdr:rowOff>
    </xdr:from>
    <xdr:to>
      <xdr:col>8</xdr:col>
      <xdr:colOff>152400</xdr:colOff>
      <xdr:row>283</xdr:row>
      <xdr:rowOff>45582</xdr:rowOff>
    </xdr:to>
    <xdr:graphicFrame macro="">
      <xdr:nvGraphicFramePr>
        <xdr:cNvPr id="133" name="Chart 15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10</xdr:col>
      <xdr:colOff>21772</xdr:colOff>
      <xdr:row>263</xdr:row>
      <xdr:rowOff>590550</xdr:rowOff>
    </xdr:from>
    <xdr:to>
      <xdr:col>18</xdr:col>
      <xdr:colOff>150360</xdr:colOff>
      <xdr:row>283</xdr:row>
      <xdr:rowOff>38100</xdr:rowOff>
    </xdr:to>
    <xdr:graphicFrame macro="">
      <xdr:nvGraphicFramePr>
        <xdr:cNvPr id="134" name="Chart 2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20</xdr:col>
      <xdr:colOff>142877</xdr:colOff>
      <xdr:row>264</xdr:row>
      <xdr:rowOff>20410</xdr:rowOff>
    </xdr:from>
    <xdr:to>
      <xdr:col>27</xdr:col>
      <xdr:colOff>985839</xdr:colOff>
      <xdr:row>283</xdr:row>
      <xdr:rowOff>87085</xdr:rowOff>
    </xdr:to>
    <xdr:graphicFrame macro="">
      <xdr:nvGraphicFramePr>
        <xdr:cNvPr id="139" name="Chart 26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absolute">
    <xdr:from>
      <xdr:col>0</xdr:col>
      <xdr:colOff>0</xdr:colOff>
      <xdr:row>285</xdr:row>
      <xdr:rowOff>64632</xdr:rowOff>
    </xdr:from>
    <xdr:to>
      <xdr:col>8</xdr:col>
      <xdr:colOff>152400</xdr:colOff>
      <xdr:row>304</xdr:row>
      <xdr:rowOff>131307</xdr:rowOff>
    </xdr:to>
    <xdr:graphicFrame macro="">
      <xdr:nvGraphicFramePr>
        <xdr:cNvPr id="140" name="Chart 15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10</xdr:col>
      <xdr:colOff>21772</xdr:colOff>
      <xdr:row>285</xdr:row>
      <xdr:rowOff>57150</xdr:rowOff>
    </xdr:from>
    <xdr:to>
      <xdr:col>18</xdr:col>
      <xdr:colOff>150360</xdr:colOff>
      <xdr:row>304</xdr:row>
      <xdr:rowOff>123825</xdr:rowOff>
    </xdr:to>
    <xdr:graphicFrame macro="">
      <xdr:nvGraphicFramePr>
        <xdr:cNvPr id="141" name="Chart 2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20</xdr:col>
      <xdr:colOff>142877</xdr:colOff>
      <xdr:row>285</xdr:row>
      <xdr:rowOff>106135</xdr:rowOff>
    </xdr:from>
    <xdr:to>
      <xdr:col>27</xdr:col>
      <xdr:colOff>985839</xdr:colOff>
      <xdr:row>305</xdr:row>
      <xdr:rowOff>10885</xdr:rowOff>
    </xdr:to>
    <xdr:graphicFrame macro="">
      <xdr:nvGraphicFramePr>
        <xdr:cNvPr id="142" name="Chart 26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absolute">
    <xdr:from>
      <xdr:col>0</xdr:col>
      <xdr:colOff>0</xdr:colOff>
      <xdr:row>307</xdr:row>
      <xdr:rowOff>36057</xdr:rowOff>
    </xdr:from>
    <xdr:to>
      <xdr:col>8</xdr:col>
      <xdr:colOff>152400</xdr:colOff>
      <xdr:row>326</xdr:row>
      <xdr:rowOff>102732</xdr:rowOff>
    </xdr:to>
    <xdr:graphicFrame macro="">
      <xdr:nvGraphicFramePr>
        <xdr:cNvPr id="143" name="Chart 1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10</xdr:col>
      <xdr:colOff>21772</xdr:colOff>
      <xdr:row>307</xdr:row>
      <xdr:rowOff>28575</xdr:rowOff>
    </xdr:from>
    <xdr:to>
      <xdr:col>18</xdr:col>
      <xdr:colOff>150360</xdr:colOff>
      <xdr:row>326</xdr:row>
      <xdr:rowOff>95250</xdr:rowOff>
    </xdr:to>
    <xdr:graphicFrame macro="">
      <xdr:nvGraphicFramePr>
        <xdr:cNvPr id="144" name="Chart 25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20</xdr:col>
      <xdr:colOff>142877</xdr:colOff>
      <xdr:row>307</xdr:row>
      <xdr:rowOff>77560</xdr:rowOff>
    </xdr:from>
    <xdr:to>
      <xdr:col>27</xdr:col>
      <xdr:colOff>985839</xdr:colOff>
      <xdr:row>326</xdr:row>
      <xdr:rowOff>153760</xdr:rowOff>
    </xdr:to>
    <xdr:graphicFrame macro="">
      <xdr:nvGraphicFramePr>
        <xdr:cNvPr id="145" name="Chart 26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absolute">
    <xdr:from>
      <xdr:col>0</xdr:col>
      <xdr:colOff>0</xdr:colOff>
      <xdr:row>328</xdr:row>
      <xdr:rowOff>0</xdr:rowOff>
    </xdr:from>
    <xdr:to>
      <xdr:col>8</xdr:col>
      <xdr:colOff>152400</xdr:colOff>
      <xdr:row>347</xdr:row>
      <xdr:rowOff>33337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absolute">
    <xdr:from>
      <xdr:col>9</xdr:col>
      <xdr:colOff>595313</xdr:colOff>
      <xdr:row>328</xdr:row>
      <xdr:rowOff>47625</xdr:rowOff>
    </xdr:from>
    <xdr:to>
      <xdr:col>18</xdr:col>
      <xdr:colOff>57151</xdr:colOff>
      <xdr:row>347</xdr:row>
      <xdr:rowOff>80962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absolute">
    <xdr:from>
      <xdr:col>19</xdr:col>
      <xdr:colOff>381000</xdr:colOff>
      <xdr:row>328</xdr:row>
      <xdr:rowOff>83344</xdr:rowOff>
    </xdr:from>
    <xdr:to>
      <xdr:col>27</xdr:col>
      <xdr:colOff>533400</xdr:colOff>
      <xdr:row>347</xdr:row>
      <xdr:rowOff>116681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absolute">
    <xdr:from>
      <xdr:col>28</xdr:col>
      <xdr:colOff>59531</xdr:colOff>
      <xdr:row>328</xdr:row>
      <xdr:rowOff>47625</xdr:rowOff>
    </xdr:from>
    <xdr:to>
      <xdr:col>36</xdr:col>
      <xdr:colOff>211931</xdr:colOff>
      <xdr:row>347</xdr:row>
      <xdr:rowOff>80962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absolute">
    <xdr:from>
      <xdr:col>0</xdr:col>
      <xdr:colOff>619125</xdr:colOff>
      <xdr:row>349</xdr:row>
      <xdr:rowOff>95250</xdr:rowOff>
    </xdr:from>
    <xdr:to>
      <xdr:col>9</xdr:col>
      <xdr:colOff>80962</xdr:colOff>
      <xdr:row>368</xdr:row>
      <xdr:rowOff>128588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absolute">
    <xdr:from>
      <xdr:col>10</xdr:col>
      <xdr:colOff>309563</xdr:colOff>
      <xdr:row>350</xdr:row>
      <xdr:rowOff>0</xdr:rowOff>
    </xdr:from>
    <xdr:to>
      <xdr:col>18</xdr:col>
      <xdr:colOff>461963</xdr:colOff>
      <xdr:row>369</xdr:row>
      <xdr:rowOff>33337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absolute">
    <xdr:from>
      <xdr:col>28</xdr:col>
      <xdr:colOff>571500</xdr:colOff>
      <xdr:row>157</xdr:row>
      <xdr:rowOff>1</xdr:rowOff>
    </xdr:from>
    <xdr:to>
      <xdr:col>37</xdr:col>
      <xdr:colOff>33338</xdr:colOff>
      <xdr:row>176</xdr:row>
      <xdr:rowOff>38101</xdr:rowOff>
    </xdr:to>
    <xdr:graphicFrame macro="">
      <xdr:nvGraphicFramePr>
        <xdr:cNvPr id="5" name="Chart 1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absolute">
    <xdr:from>
      <xdr:col>59</xdr:col>
      <xdr:colOff>0</xdr:colOff>
      <xdr:row>134</xdr:row>
      <xdr:rowOff>0</xdr:rowOff>
    </xdr:from>
    <xdr:to>
      <xdr:col>67</xdr:col>
      <xdr:colOff>152400</xdr:colOff>
      <xdr:row>153</xdr:row>
      <xdr:rowOff>38099</xdr:rowOff>
    </xdr:to>
    <xdr:graphicFrame macro="">
      <xdr:nvGraphicFramePr>
        <xdr:cNvPr id="6" name="Chart 1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absolute">
    <xdr:from>
      <xdr:col>38</xdr:col>
      <xdr:colOff>500062</xdr:colOff>
      <xdr:row>82</xdr:row>
      <xdr:rowOff>11907</xdr:rowOff>
    </xdr:from>
    <xdr:to>
      <xdr:col>46</xdr:col>
      <xdr:colOff>652462</xdr:colOff>
      <xdr:row>101</xdr:row>
      <xdr:rowOff>26194</xdr:rowOff>
    </xdr:to>
    <xdr:graphicFrame macro="">
      <xdr:nvGraphicFramePr>
        <xdr:cNvPr id="11" name="Chart 17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Custom 2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B0F0"/>
      </a:accent1>
      <a:accent2>
        <a:srgbClr val="FF05A6"/>
      </a:accent2>
      <a:accent3>
        <a:srgbClr val="FF0000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iec850849\AppData\Local\Microsoft\Windows\INetCache\Content.Outlook\5KK1VVXK\SystemPerformance\UMA_PCMark10_S_AC_1.jpg" TargetMode="External"/><Relationship Id="rId18" Type="http://schemas.openxmlformats.org/officeDocument/2006/relationships/hyperlink" Target="file:///C:\Users\iec850849\AppData\Local\Microsoft\Windows\INetCache\Content.Outlook\5KK1VVXK\SystemPerformance\UMA_TimeSpy_P_AC_1.jpg" TargetMode="External"/><Relationship Id="rId26" Type="http://schemas.openxmlformats.org/officeDocument/2006/relationships/hyperlink" Target="file:///C:\Users\iec850849\AppData\Local\Microsoft\Windows\INetCache\Content.Outlook\5KK1VVXK\SystemPerformance\UMA_PCMark10_P_AC_3.jpg" TargetMode="External"/><Relationship Id="rId39" Type="http://schemas.openxmlformats.org/officeDocument/2006/relationships/hyperlink" Target="file:///C:\Users\iec850849\AppData\Local\Microsoft\Windows\INetCache\Content.Outlook\5KK1VVXK\SystemPerformance\UMA_TimeSpy_T_AC_3.jpg" TargetMode="External"/><Relationship Id="rId21" Type="http://schemas.openxmlformats.org/officeDocument/2006/relationships/hyperlink" Target="file:///C:\Users\iec850849\AppData\Local\Microsoft\Windows\INetCache\Content.Outlook\5KK1VVXK\SystemPerformance\UMA_CDM_C_P_AC_1.jpg" TargetMode="External"/><Relationship Id="rId34" Type="http://schemas.openxmlformats.org/officeDocument/2006/relationships/hyperlink" Target="file:///C:\Users\iec850849\AppData\Local\Microsoft\Windows\INetCache\Content.Outlook\5KK1VVXK\SystemPerformance\UMA_PCMark10_T_AC_2.jpg" TargetMode="External"/><Relationship Id="rId42" Type="http://schemas.openxmlformats.org/officeDocument/2006/relationships/hyperlink" Target="file:///C:\Users\iec850849\AppData\Local\Microsoft\Windows\INetCache\Content.Outlook\5KK1VVXK\SystemPerformance\UMA_FireStrike_T_AC_3.jpg" TargetMode="External"/><Relationship Id="rId47" Type="http://schemas.openxmlformats.org/officeDocument/2006/relationships/comments" Target="../comments2.xml"/><Relationship Id="rId7" Type="http://schemas.openxmlformats.org/officeDocument/2006/relationships/hyperlink" Target="file:///C:\Users\iec850849\AppData\Local\Microsoft\Windows\INetCache\Content.Outlook\5KK1VVXK\SystemPerformance\UMA_TimeSpy_S_AC_1.jpg" TargetMode="External"/><Relationship Id="rId2" Type="http://schemas.openxmlformats.org/officeDocument/2006/relationships/hyperlink" Target="file:///C:\Users\iec850849\AppData\Local\Microsoft\Windows\INetCache\Content.Outlook\5KK1VVXK\SystemPerformance\UMA_FireStrike_S_AC_2.jpg" TargetMode="External"/><Relationship Id="rId16" Type="http://schemas.openxmlformats.org/officeDocument/2006/relationships/hyperlink" Target="file:///C:\Users\iec850849\AppData\Local\Microsoft\Windows\INetCache\Content.Outlook\5KK1VVXK\SystemPerformance\UMA_FireStrike_P_AC_2.jpg" TargetMode="External"/><Relationship Id="rId29" Type="http://schemas.openxmlformats.org/officeDocument/2006/relationships/hyperlink" Target="file:///C:\Users\iec850849\AppData\Local\Microsoft\Windows\INetCache\Content.Outlook\5KK1VVXK\SystemPerformance\UMA_PortRoyal_T_AC_3.jpg" TargetMode="External"/><Relationship Id="rId1" Type="http://schemas.openxmlformats.org/officeDocument/2006/relationships/hyperlink" Target="file:///C:\Users\iec850849\AppData\Local\Microsoft\Windows\INetCache\Content.Outlook\5KK1VVXK\SystemPerformance\UMA_FireStrike_S_AC_1.jpg" TargetMode="External"/><Relationship Id="rId6" Type="http://schemas.openxmlformats.org/officeDocument/2006/relationships/hyperlink" Target="file:///C:\Users\iec850849\AppData\Local\Microsoft\Windows\INetCache\Content.Outlook\5KK1VVXK\SystemPerformance\UMA_PortRoyal_S_AC_3.jpg" TargetMode="External"/><Relationship Id="rId11" Type="http://schemas.openxmlformats.org/officeDocument/2006/relationships/hyperlink" Target="file:///C:\Users\iec850849\AppData\Local\Microsoft\Windows\INetCache\Content.Outlook\5KK1VVXK\SystemPerformance\UMA_CDM_C_S_AC_2.jpg" TargetMode="External"/><Relationship Id="rId24" Type="http://schemas.openxmlformats.org/officeDocument/2006/relationships/hyperlink" Target="file:///C:\Users\iec850849\AppData\Local\Microsoft\Windows\INetCache\Content.Outlook\5KK1VVXK\SystemPerformance\UMA_PCMark10_P_AC_1.jpg" TargetMode="External"/><Relationship Id="rId32" Type="http://schemas.openxmlformats.org/officeDocument/2006/relationships/hyperlink" Target="file:///C:\Users\iec850849\AppData\Local\Microsoft\Windows\INetCache\Content.Outlook\5KK1VVXK\SystemPerformance\UMA_PortRoyal_P_AC_1.jpg" TargetMode="External"/><Relationship Id="rId37" Type="http://schemas.openxmlformats.org/officeDocument/2006/relationships/hyperlink" Target="file:///C:\Users\iec850849\AppData\Local\Microsoft\Windows\INetCache\Content.Outlook\5KK1VVXK\SystemPerformance\UMA_CDM_C_T_AC_2.jpg" TargetMode="External"/><Relationship Id="rId40" Type="http://schemas.openxmlformats.org/officeDocument/2006/relationships/hyperlink" Target="file:///C:\Users\iec850849\AppData\Local\Microsoft\Windows\INetCache\Content.Outlook\5KK1VVXK\SystemPerformance\UMA_TimeSpy_T_AC_2.jpg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file:///C:\Users\iec850849\AppData\Local\Microsoft\Windows\INetCache\Content.Outlook\5KK1VVXK\SystemPerformance\UMA_PortRoyal_S_AC_2.jpg" TargetMode="External"/><Relationship Id="rId15" Type="http://schemas.openxmlformats.org/officeDocument/2006/relationships/hyperlink" Target="file:///C:\Users\iec850849\AppData\Local\Microsoft\Windows\INetCache\Content.Outlook\5KK1VVXK\SystemPerformance\UMA_FireStrike_P_AC_1.jpg" TargetMode="External"/><Relationship Id="rId23" Type="http://schemas.openxmlformats.org/officeDocument/2006/relationships/hyperlink" Target="file:///C:\Users\iec850849\AppData\Local\Microsoft\Windows\INetCache\Content.Outlook\5KK1VVXK\SystemPerformance\UMA_CDM_C_P_AC_3.jpg" TargetMode="External"/><Relationship Id="rId28" Type="http://schemas.openxmlformats.org/officeDocument/2006/relationships/hyperlink" Target="file:///C:\Users\iec850849\AppData\Local\Microsoft\Windows\INetCache\Content.Outlook\5KK1VVXK\SystemPerformance\UMA_PortRoyal_T_AC_2.jpg" TargetMode="External"/><Relationship Id="rId36" Type="http://schemas.openxmlformats.org/officeDocument/2006/relationships/hyperlink" Target="file:///C:\Users\iec850849\AppData\Local\Microsoft\Windows\INetCache\Content.Outlook\5KK1VVXK\SystemPerformance\UMA_CDM_C_T_AC_3.jpg" TargetMode="External"/><Relationship Id="rId10" Type="http://schemas.openxmlformats.org/officeDocument/2006/relationships/hyperlink" Target="file:///C:\Users\iec850849\AppData\Local\Microsoft\Windows\INetCache\Content.Outlook\5KK1VVXK\SystemPerformance\UMA_CDM_C_S_AC_1.jpg" TargetMode="External"/><Relationship Id="rId19" Type="http://schemas.openxmlformats.org/officeDocument/2006/relationships/hyperlink" Target="file:///C:\Users\iec850849\AppData\Local\Microsoft\Windows\INetCache\Content.Outlook\5KK1VVXK\SystemPerformance\UMA_TimeSpy_P_AC_2.jpg" TargetMode="External"/><Relationship Id="rId31" Type="http://schemas.openxmlformats.org/officeDocument/2006/relationships/hyperlink" Target="file:///C:\Users\iec850849\AppData\Local\Microsoft\Windows\INetCache\Content.Outlook\5KK1VVXK\SystemPerformance\UMA_PortRoyal_P_AC_2.jpg" TargetMode="External"/><Relationship Id="rId44" Type="http://schemas.openxmlformats.org/officeDocument/2006/relationships/hyperlink" Target="file:///C:\Users\iec850849\AppData\Local\Microsoft\Windows\INetCache\Content.Outlook\5KK1VVXK\SystemPerformance\UMA_FireStrike_T_AC_1.jpg" TargetMode="External"/><Relationship Id="rId4" Type="http://schemas.openxmlformats.org/officeDocument/2006/relationships/hyperlink" Target="file:///C:\Users\iec850849\AppData\Local\Microsoft\Windows\INetCache\Content.Outlook\5KK1VVXK\SystemPerformance\UMA_PortRoyal_S_AC_1.jpg" TargetMode="External"/><Relationship Id="rId9" Type="http://schemas.openxmlformats.org/officeDocument/2006/relationships/hyperlink" Target="file:///C:\Users\iec850849\AppData\Local\Microsoft\Windows\INetCache\Content.Outlook\5KK1VVXK\SystemPerformance\UMA_TimeSpy_S_AC_3.jpg" TargetMode="External"/><Relationship Id="rId14" Type="http://schemas.openxmlformats.org/officeDocument/2006/relationships/hyperlink" Target="file:///C:\Users\iec850849\AppData\Local\Microsoft\Windows\INetCache\Content.Outlook\5KK1VVXK\SystemPerformance\UMA_PCMark10_S_AC_2.jpg" TargetMode="External"/><Relationship Id="rId22" Type="http://schemas.openxmlformats.org/officeDocument/2006/relationships/hyperlink" Target="file:///C:\Users\iec850849\AppData\Local\Microsoft\Windows\INetCache\Content.Outlook\5KK1VVXK\SystemPerformance\UMA_CDM_C_P_AC_2.jpg" TargetMode="External"/><Relationship Id="rId27" Type="http://schemas.openxmlformats.org/officeDocument/2006/relationships/hyperlink" Target="file:///C:\Users\iec850849\AppData\Local\Microsoft\Windows\INetCache\Content.Outlook\5KK1VVXK\SystemPerformance\UMA_PortRoyal_T_AC_1.jpg" TargetMode="External"/><Relationship Id="rId30" Type="http://schemas.openxmlformats.org/officeDocument/2006/relationships/hyperlink" Target="file:///C:\Users\iec850849\AppData\Local\Microsoft\Windows\INetCache\Content.Outlook\5KK1VVXK\SystemPerformance\UMA_PortRoyal_P_AC_3.jpg" TargetMode="External"/><Relationship Id="rId35" Type="http://schemas.openxmlformats.org/officeDocument/2006/relationships/hyperlink" Target="file:///C:\Users\iec850849\AppData\Local\Microsoft\Windows\INetCache\Content.Outlook\5KK1VVXK\SystemPerformance\UMA_PCMark10_T_AC_1.jpg" TargetMode="External"/><Relationship Id="rId43" Type="http://schemas.openxmlformats.org/officeDocument/2006/relationships/hyperlink" Target="file:///C:\Users\iec850849\AppData\Local\Microsoft\Windows\INetCache\Content.Outlook\5KK1VVXK\SystemPerformance\UMA_FireStrike_T_AC_2.jpg" TargetMode="External"/><Relationship Id="rId8" Type="http://schemas.openxmlformats.org/officeDocument/2006/relationships/hyperlink" Target="file:///C:\Users\iec850849\AppData\Local\Microsoft\Windows\INetCache\Content.Outlook\5KK1VVXK\SystemPerformance\UMA_TimeSpy_S_AC_2.jpg" TargetMode="External"/><Relationship Id="rId3" Type="http://schemas.openxmlformats.org/officeDocument/2006/relationships/hyperlink" Target="file:///C:\Users\iec850849\AppData\Local\Microsoft\Windows\INetCache\Content.Outlook\5KK1VVXK\SystemPerformance\UMA_FireStrike_S_AC_3.jpg" TargetMode="External"/><Relationship Id="rId12" Type="http://schemas.openxmlformats.org/officeDocument/2006/relationships/hyperlink" Target="file:///C:\Users\iec850849\AppData\Local\Microsoft\Windows\INetCache\Content.Outlook\5KK1VVXK\SystemPerformance\UMA_CDM_C_S_AC_3.jpg" TargetMode="External"/><Relationship Id="rId17" Type="http://schemas.openxmlformats.org/officeDocument/2006/relationships/hyperlink" Target="file:///C:\Users\iec850849\AppData\Local\Microsoft\Windows\INetCache\Content.Outlook\5KK1VVXK\SystemPerformance\UMA_FireStrike_P_AC_3.jpg" TargetMode="External"/><Relationship Id="rId25" Type="http://schemas.openxmlformats.org/officeDocument/2006/relationships/hyperlink" Target="file:///C:\Users\iec850849\AppData\Local\Microsoft\Windows\INetCache\Content.Outlook\5KK1VVXK\SystemPerformance\UMA_PCMark10_P_AC_2.jpg" TargetMode="External"/><Relationship Id="rId33" Type="http://schemas.openxmlformats.org/officeDocument/2006/relationships/hyperlink" Target="file:///C:\Users\iec850849\AppData\Local\Microsoft\Windows\INetCache\Content.Outlook\5KK1VVXK\SystemPerformance\UMA_PCMark10_T_AC_3.jpg" TargetMode="External"/><Relationship Id="rId38" Type="http://schemas.openxmlformats.org/officeDocument/2006/relationships/hyperlink" Target="file:///C:\Users\iec850849\AppData\Local\Microsoft\Windows\INetCache\Content.Outlook\5KK1VVXK\SystemPerformance\UMA_CDM_C_T_AC_1.jpg" TargetMode="External"/><Relationship Id="rId46" Type="http://schemas.openxmlformats.org/officeDocument/2006/relationships/vmlDrawing" Target="../drawings/vmlDrawing2.vml"/><Relationship Id="rId20" Type="http://schemas.openxmlformats.org/officeDocument/2006/relationships/hyperlink" Target="file:///C:\Users\iec850849\AppData\Local\Microsoft\Windows\INetCache\Content.Outlook\5KK1VVXK\SystemPerformance\UMA_TimeSpy_P_AC_3.jpg" TargetMode="External"/><Relationship Id="rId41" Type="http://schemas.openxmlformats.org/officeDocument/2006/relationships/hyperlink" Target="file:///C:\Users\iec850849\AppData\Local\Microsoft\Windows\INetCache\Content.Outlook\5KK1VVXK\SystemPerformance\UMA_TimeSpy_T_AC_1.jp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4"/>
  <sheetViews>
    <sheetView workbookViewId="0">
      <pane xSplit="1" ySplit="1" topLeftCell="B2" activePane="bottomRight" state="frozenSplit"/>
      <selection pane="topRight"/>
      <selection pane="bottomLeft"/>
      <selection pane="bottomRight" activeCell="D21" sqref="D21"/>
    </sheetView>
  </sheetViews>
  <sheetFormatPr defaultColWidth="13.09765625" defaultRowHeight="15" customHeight="1"/>
  <cols>
    <col min="1" max="1" width="30.59765625" style="127" customWidth="1"/>
    <col min="2" max="2" width="50.59765625" style="127" customWidth="1"/>
    <col min="3" max="3" width="4.59765625" style="127" customWidth="1"/>
    <col min="4" max="4" width="25.09765625" style="127" customWidth="1"/>
    <col min="5" max="8" width="11.59765625" style="127" customWidth="1"/>
    <col min="9" max="27" width="7.59765625" style="127" customWidth="1"/>
    <col min="28" max="28" width="13.09765625" style="127" customWidth="1"/>
    <col min="29" max="16384" width="13.09765625" style="127"/>
  </cols>
  <sheetData>
    <row r="1" spans="1:27" s="56" customFormat="1" ht="15.75" customHeight="1">
      <c r="A1" s="158" t="s">
        <v>0</v>
      </c>
      <c r="B1" s="159"/>
      <c r="C1" s="128"/>
      <c r="D1" s="160" t="s">
        <v>1</v>
      </c>
      <c r="E1" s="161"/>
      <c r="F1" s="161"/>
      <c r="G1" s="161"/>
      <c r="H1" s="162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</row>
    <row r="2" spans="1:27" s="56" customFormat="1" ht="14.85" customHeight="1">
      <c r="A2" s="129" t="s">
        <v>2</v>
      </c>
      <c r="B2" s="154" t="s">
        <v>413</v>
      </c>
      <c r="C2" s="128"/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spans="1:27" s="56" customFormat="1" ht="14.85" customHeight="1">
      <c r="A3" s="129" t="s">
        <v>8</v>
      </c>
      <c r="B3" s="154" t="s">
        <v>9</v>
      </c>
      <c r="C3" s="128"/>
      <c r="D3" s="124" t="s">
        <v>10</v>
      </c>
      <c r="E3" s="131"/>
      <c r="F3" s="131"/>
      <c r="G3" s="131"/>
      <c r="H3" s="131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 spans="1:27" s="56" customFormat="1" ht="15" customHeight="1">
      <c r="A4" s="129" t="s">
        <v>11</v>
      </c>
      <c r="B4" s="154"/>
      <c r="C4" s="128"/>
      <c r="D4" s="124" t="s">
        <v>12</v>
      </c>
      <c r="E4" s="131"/>
      <c r="F4" s="131"/>
      <c r="G4" s="131"/>
      <c r="H4" s="131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</row>
    <row r="5" spans="1:27" s="56" customFormat="1" ht="15" customHeight="1">
      <c r="A5" s="129" t="s">
        <v>13</v>
      </c>
      <c r="B5" s="155" t="s">
        <v>14</v>
      </c>
      <c r="C5" s="128"/>
      <c r="D5" s="124" t="s">
        <v>15</v>
      </c>
      <c r="E5" s="131"/>
      <c r="F5" s="131"/>
      <c r="G5" s="131"/>
      <c r="H5" s="131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</row>
    <row r="6" spans="1:27" s="56" customFormat="1" ht="15" customHeight="1">
      <c r="A6" s="129" t="s">
        <v>16</v>
      </c>
      <c r="B6" s="132"/>
      <c r="C6" s="128"/>
      <c r="D6" s="124" t="s">
        <v>17</v>
      </c>
      <c r="E6" s="131"/>
      <c r="F6" s="131"/>
      <c r="G6" s="131"/>
      <c r="H6" s="131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</row>
    <row r="7" spans="1:27" s="56" customFormat="1" ht="14.4">
      <c r="A7" s="133" t="s">
        <v>18</v>
      </c>
      <c r="B7" s="155" t="s">
        <v>414</v>
      </c>
      <c r="C7" s="128"/>
      <c r="D7" s="124" t="s">
        <v>19</v>
      </c>
      <c r="E7" s="131"/>
      <c r="F7" s="131"/>
      <c r="G7" s="131"/>
      <c r="H7" s="131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</row>
    <row r="8" spans="1:27" s="56" customFormat="1" ht="14.4">
      <c r="A8" s="133" t="s">
        <v>20</v>
      </c>
      <c r="B8" s="155" t="s">
        <v>415</v>
      </c>
      <c r="C8" s="128"/>
      <c r="D8" s="124" t="s">
        <v>21</v>
      </c>
      <c r="E8" s="131"/>
      <c r="F8" s="131"/>
      <c r="G8" s="131"/>
      <c r="H8" s="131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</row>
    <row r="9" spans="1:27" s="56" customFormat="1" ht="14.4">
      <c r="A9" s="133" t="s">
        <v>22</v>
      </c>
      <c r="B9" s="155" t="s">
        <v>23</v>
      </c>
      <c r="C9" s="128"/>
      <c r="D9" s="124" t="s">
        <v>24</v>
      </c>
      <c r="E9" s="131"/>
      <c r="F9" s="131"/>
      <c r="G9" s="131"/>
      <c r="H9" s="131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</row>
    <row r="10" spans="1:27" s="56" customFormat="1" ht="14.85" customHeight="1">
      <c r="A10" s="129" t="s">
        <v>25</v>
      </c>
      <c r="B10" s="156" t="s">
        <v>416</v>
      </c>
      <c r="C10" s="128"/>
      <c r="D10" s="124" t="s">
        <v>26</v>
      </c>
      <c r="E10" s="131"/>
      <c r="F10" s="131"/>
      <c r="G10" s="131"/>
      <c r="H10" s="131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</row>
    <row r="11" spans="1:27" s="56" customFormat="1" ht="14.85" customHeight="1">
      <c r="A11" s="129" t="s">
        <v>27</v>
      </c>
      <c r="B11" s="155" t="s">
        <v>417</v>
      </c>
      <c r="C11" s="128"/>
      <c r="D11" s="127"/>
      <c r="E11" s="127"/>
      <c r="F11" s="127"/>
      <c r="G11" s="127"/>
      <c r="H11" s="127"/>
      <c r="I11" s="127"/>
      <c r="J11" s="127"/>
      <c r="K11" s="127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</row>
    <row r="12" spans="1:27" s="56" customFormat="1" ht="14.85" customHeight="1">
      <c r="A12" s="129" t="s">
        <v>28</v>
      </c>
      <c r="B12" s="155" t="s">
        <v>418</v>
      </c>
      <c r="C12" s="128"/>
      <c r="D12" s="127"/>
      <c r="E12" s="127"/>
      <c r="F12" s="127"/>
      <c r="G12" s="127"/>
      <c r="H12" s="127"/>
      <c r="I12" s="127"/>
      <c r="J12" s="127"/>
      <c r="K12" s="127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</row>
    <row r="13" spans="1:27" s="56" customFormat="1" ht="14.85" customHeight="1">
      <c r="A13" s="129" t="s">
        <v>29</v>
      </c>
      <c r="B13" s="155" t="s">
        <v>30</v>
      </c>
      <c r="C13" s="128"/>
      <c r="D13" s="127"/>
      <c r="E13" s="127"/>
      <c r="F13" s="127"/>
      <c r="G13" s="127"/>
      <c r="H13" s="127"/>
      <c r="I13" s="127"/>
      <c r="J13" s="127"/>
      <c r="K13" s="127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</row>
    <row r="14" spans="1:27" s="56" customFormat="1" ht="14.85" customHeight="1">
      <c r="A14" s="129" t="s">
        <v>31</v>
      </c>
      <c r="B14" s="155" t="s">
        <v>419</v>
      </c>
      <c r="C14" s="128"/>
      <c r="D14" s="127"/>
      <c r="E14" s="127"/>
      <c r="F14" s="127"/>
      <c r="G14" s="127"/>
      <c r="H14" s="127"/>
      <c r="I14" s="127"/>
      <c r="J14" s="127"/>
      <c r="K14" s="127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</row>
    <row r="15" spans="1:27" s="56" customFormat="1" ht="72">
      <c r="A15" s="129" t="s">
        <v>32</v>
      </c>
      <c r="B15" s="157" t="s">
        <v>420</v>
      </c>
      <c r="C15" s="128"/>
      <c r="D15" s="127"/>
      <c r="E15" s="127"/>
      <c r="F15" s="127"/>
      <c r="G15" s="127"/>
      <c r="H15" s="127"/>
      <c r="I15" s="127"/>
      <c r="J15" s="127"/>
      <c r="K15" s="127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</row>
    <row r="16" spans="1:27" s="56" customFormat="1" ht="14.85" customHeight="1">
      <c r="A16" s="129" t="s">
        <v>33</v>
      </c>
      <c r="B16" s="132" t="s">
        <v>421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</row>
    <row r="17" spans="1:27" s="56" customFormat="1" ht="14.85" customHeight="1">
      <c r="A17" s="129" t="s">
        <v>34</v>
      </c>
      <c r="B17" s="155" t="s">
        <v>35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</row>
    <row r="18" spans="1:27" s="56" customFormat="1" ht="14.85" customHeight="1">
      <c r="A18" s="129" t="s">
        <v>36</v>
      </c>
      <c r="B18" s="155"/>
      <c r="C18" s="128"/>
      <c r="D18" s="127"/>
      <c r="E18" s="127"/>
      <c r="F18" s="127"/>
      <c r="G18" s="127"/>
      <c r="H18" s="127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</row>
    <row r="19" spans="1:27" s="56" customFormat="1" ht="14.4">
      <c r="A19" s="129" t="s">
        <v>37</v>
      </c>
      <c r="B19" s="155" t="s">
        <v>38</v>
      </c>
      <c r="C19" s="128"/>
      <c r="D19" s="127"/>
      <c r="E19" s="127"/>
      <c r="F19" s="127"/>
      <c r="G19" s="127"/>
      <c r="H19" s="127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</row>
    <row r="20" spans="1:27" s="56" customFormat="1" ht="14.85" customHeight="1">
      <c r="A20" s="129" t="s">
        <v>39</v>
      </c>
      <c r="B20" s="154" t="s">
        <v>422</v>
      </c>
      <c r="C20" s="128"/>
      <c r="D20" s="127"/>
      <c r="E20" s="127"/>
      <c r="F20" s="127"/>
      <c r="G20" s="127"/>
      <c r="H20" s="127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</row>
    <row r="21" spans="1:27" s="56" customFormat="1" ht="14.85" customHeight="1">
      <c r="A21" s="129" t="s">
        <v>40</v>
      </c>
      <c r="B21" s="154" t="s">
        <v>423</v>
      </c>
      <c r="C21" s="128"/>
      <c r="E21" s="127"/>
      <c r="F21" s="127"/>
      <c r="G21" s="127"/>
      <c r="H21" s="127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</row>
    <row r="22" spans="1:27" s="56" customFormat="1" ht="15.75" customHeight="1">
      <c r="A22" s="129" t="s">
        <v>41</v>
      </c>
      <c r="B22" s="154"/>
      <c r="C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</row>
    <row r="23" spans="1:27" s="56" customFormat="1" ht="15.75" customHeight="1">
      <c r="A23" s="129" t="s">
        <v>42</v>
      </c>
      <c r="B23" s="154"/>
      <c r="C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</row>
    <row r="24" spans="1:27" s="56" customFormat="1" ht="15.75" customHeight="1">
      <c r="A24" s="129" t="s">
        <v>43</v>
      </c>
      <c r="B24" s="154"/>
      <c r="C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</row>
    <row r="25" spans="1:27" s="56" customFormat="1" ht="15.75" customHeight="1">
      <c r="A25" s="129" t="s">
        <v>44</v>
      </c>
      <c r="B25" s="154" t="s">
        <v>424</v>
      </c>
      <c r="C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</row>
    <row r="26" spans="1:27" s="56" customFormat="1" ht="15.75" customHeight="1">
      <c r="A26" s="129" t="s">
        <v>45</v>
      </c>
      <c r="B26" s="154" t="s">
        <v>46</v>
      </c>
      <c r="C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</row>
    <row r="27" spans="1:27" s="56" customFormat="1" ht="15.75" customHeight="1">
      <c r="A27" s="129" t="s">
        <v>47</v>
      </c>
      <c r="B27" s="155" t="s">
        <v>425</v>
      </c>
      <c r="C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</row>
    <row r="28" spans="1:27" s="56" customFormat="1" ht="15.75" customHeight="1">
      <c r="A28" s="129" t="s">
        <v>48</v>
      </c>
      <c r="B28" s="155"/>
      <c r="C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</row>
    <row r="29" spans="1:27" s="56" customFormat="1" ht="15.75" customHeight="1">
      <c r="A29" s="129" t="s">
        <v>49</v>
      </c>
      <c r="B29" s="155" t="s">
        <v>414</v>
      </c>
      <c r="C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</row>
    <row r="30" spans="1:27" s="56" customFormat="1" ht="15.75" customHeight="1">
      <c r="A30" s="129" t="s">
        <v>50</v>
      </c>
      <c r="B30" s="155" t="s">
        <v>426</v>
      </c>
      <c r="C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</row>
    <row r="31" spans="1:27" s="56" customFormat="1" ht="15.75" customHeight="1">
      <c r="A31" s="129" t="s">
        <v>51</v>
      </c>
      <c r="B31" s="155"/>
      <c r="C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</row>
    <row r="32" spans="1:27" s="56" customFormat="1" ht="15.75" customHeight="1">
      <c r="A32" s="129" t="s">
        <v>52</v>
      </c>
      <c r="B32" s="155" t="s">
        <v>53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</row>
    <row r="33" spans="1:27" s="56" customFormat="1" ht="15.75" customHeight="1">
      <c r="A33" s="129" t="s">
        <v>54</v>
      </c>
      <c r="B33" s="155" t="s">
        <v>427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</row>
    <row r="34" spans="1:27" s="56" customFormat="1" ht="15.75" customHeight="1">
      <c r="A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</row>
    <row r="35" spans="1:27" s="56" customFormat="1" ht="15.75" customHeight="1">
      <c r="A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</row>
    <row r="36" spans="1:27" s="56" customFormat="1" ht="15.75" customHeight="1">
      <c r="A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</row>
    <row r="37" spans="1:27" s="56" customFormat="1" ht="15.75" customHeight="1">
      <c r="A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</row>
    <row r="38" spans="1:27" s="56" customFormat="1" ht="15.75" customHeight="1">
      <c r="A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</row>
    <row r="39" spans="1:27" s="56" customFormat="1" ht="15.75" customHeight="1">
      <c r="A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</row>
    <row r="40" spans="1:27" s="56" customFormat="1" ht="15.75" customHeight="1">
      <c r="A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</row>
    <row r="41" spans="1:27" s="56" customFormat="1" ht="15.75" customHeight="1">
      <c r="A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</row>
    <row r="42" spans="1:27" s="56" customFormat="1" ht="15.75" customHeight="1">
      <c r="A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</row>
    <row r="43" spans="1:27" s="56" customFormat="1" ht="15.75" customHeight="1">
      <c r="A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</row>
    <row r="44" spans="1:27" s="56" customFormat="1" ht="15.75" customHeight="1">
      <c r="A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</row>
    <row r="45" spans="1:27" s="56" customFormat="1" ht="15.75" customHeight="1">
      <c r="A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</row>
    <row r="46" spans="1:27" s="56" customFormat="1" ht="15.75" customHeight="1">
      <c r="A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</row>
    <row r="47" spans="1:27" s="56" customFormat="1" ht="15.75" customHeight="1">
      <c r="A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</row>
    <row r="48" spans="1:27" s="56" customFormat="1" ht="15.75" customHeight="1">
      <c r="A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</row>
    <row r="49" spans="1:27" s="56" customFormat="1" ht="15.75" customHeight="1">
      <c r="A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</row>
    <row r="50" spans="1:27" s="56" customFormat="1" ht="15.75" customHeight="1">
      <c r="A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</row>
    <row r="51" spans="1:27" s="56" customFormat="1" ht="15.75" customHeight="1">
      <c r="A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</row>
    <row r="52" spans="1:27" s="56" customFormat="1" ht="15.75" customHeight="1">
      <c r="A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</row>
    <row r="53" spans="1:27" s="56" customFormat="1" ht="15.75" customHeight="1">
      <c r="A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</row>
    <row r="54" spans="1:27" s="56" customFormat="1" ht="15.75" customHeight="1">
      <c r="A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</row>
    <row r="55" spans="1:27" s="56" customFormat="1" ht="15.75" customHeight="1">
      <c r="A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</row>
    <row r="56" spans="1:27" s="56" customFormat="1" ht="15.75" customHeight="1">
      <c r="A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</row>
    <row r="57" spans="1:27" s="56" customFormat="1" ht="15.75" customHeight="1">
      <c r="A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</row>
    <row r="58" spans="1:27" s="56" customFormat="1" ht="15.75" customHeight="1">
      <c r="A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</row>
    <row r="59" spans="1:27" s="56" customFormat="1" ht="15.75" customHeight="1">
      <c r="A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</row>
    <row r="60" spans="1:27" s="56" customFormat="1" ht="15.75" customHeight="1">
      <c r="A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</row>
    <row r="61" spans="1:27" s="56" customFormat="1" ht="15.75" customHeight="1">
      <c r="A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</row>
    <row r="62" spans="1:27" s="56" customFormat="1" ht="15.75" customHeight="1">
      <c r="A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</row>
    <row r="63" spans="1:27" s="56" customFormat="1" ht="15.75" customHeight="1">
      <c r="A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</row>
    <row r="64" spans="1:27" s="56" customFormat="1" ht="15.75" customHeight="1">
      <c r="A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</row>
    <row r="65" spans="1:27" s="56" customFormat="1" ht="15.75" customHeight="1">
      <c r="A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</row>
    <row r="66" spans="1:27" s="56" customFormat="1" ht="15.75" customHeight="1">
      <c r="A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</row>
    <row r="67" spans="1:27" s="56" customFormat="1" ht="15.75" customHeight="1">
      <c r="A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</row>
    <row r="68" spans="1:27" s="56" customFormat="1" ht="15.75" customHeight="1">
      <c r="A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</row>
    <row r="69" spans="1:27" s="56" customFormat="1" ht="15.75" customHeight="1">
      <c r="A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</row>
    <row r="70" spans="1:27" s="56" customFormat="1" ht="15.75" customHeight="1">
      <c r="A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</row>
    <row r="71" spans="1:27" s="56" customFormat="1" ht="15.75" customHeight="1">
      <c r="A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</row>
    <row r="72" spans="1:27" s="56" customFormat="1" ht="15.75" customHeight="1">
      <c r="A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</row>
    <row r="73" spans="1:27" s="56" customFormat="1" ht="15.75" customHeight="1">
      <c r="A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</row>
    <row r="74" spans="1:27" s="56" customFormat="1" ht="15.75" customHeight="1">
      <c r="A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</row>
    <row r="75" spans="1:27" s="56" customFormat="1" ht="15.75" customHeight="1">
      <c r="A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</row>
    <row r="76" spans="1:27" s="56" customFormat="1" ht="15.75" customHeight="1">
      <c r="A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</row>
    <row r="77" spans="1:27" s="56" customFormat="1" ht="15.75" customHeight="1">
      <c r="A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</row>
    <row r="78" spans="1:27" s="56" customFormat="1" ht="15.75" customHeight="1">
      <c r="A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</row>
    <row r="79" spans="1:27" s="56" customFormat="1" ht="15.75" customHeight="1">
      <c r="A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</row>
    <row r="80" spans="1:27" s="56" customFormat="1" ht="15.75" customHeight="1">
      <c r="A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</row>
    <row r="81" spans="1:27" s="56" customFormat="1" ht="15.75" customHeight="1">
      <c r="A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</row>
    <row r="82" spans="1:27" s="56" customFormat="1" ht="15.75" customHeight="1">
      <c r="A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</row>
    <row r="83" spans="1:27" s="56" customFormat="1" ht="15.75" customHeight="1">
      <c r="A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</row>
    <row r="84" spans="1:27" s="56" customFormat="1" ht="15.75" customHeight="1">
      <c r="A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</row>
    <row r="85" spans="1:27" s="56" customFormat="1" ht="15.75" customHeight="1">
      <c r="A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</row>
    <row r="86" spans="1:27" s="56" customFormat="1" ht="15.75" customHeight="1">
      <c r="A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</row>
    <row r="87" spans="1:27" s="56" customFormat="1" ht="15.75" customHeight="1">
      <c r="A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</row>
    <row r="88" spans="1:27" s="56" customFormat="1" ht="15.75" customHeight="1">
      <c r="A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</row>
    <row r="89" spans="1:27" s="56" customFormat="1" ht="15.75" customHeight="1">
      <c r="A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</row>
    <row r="90" spans="1:27" s="56" customFormat="1" ht="15.75" customHeight="1">
      <c r="A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</row>
    <row r="91" spans="1:27" s="56" customFormat="1" ht="15.75" customHeight="1">
      <c r="A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</row>
    <row r="92" spans="1:27" s="56" customFormat="1" ht="15.75" customHeight="1">
      <c r="A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</row>
    <row r="93" spans="1:27" s="56" customFormat="1" ht="15.75" customHeight="1">
      <c r="A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</row>
    <row r="94" spans="1:27" s="56" customFormat="1" ht="15.75" customHeight="1">
      <c r="A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</row>
    <row r="95" spans="1:27" s="56" customFormat="1" ht="15.75" customHeight="1">
      <c r="A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</row>
    <row r="96" spans="1:27" s="56" customFormat="1" ht="15.75" customHeight="1">
      <c r="A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</row>
    <row r="97" spans="1:27" s="56" customFormat="1" ht="15.75" customHeight="1">
      <c r="A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</row>
    <row r="98" spans="1:27" s="56" customFormat="1" ht="15.75" customHeight="1">
      <c r="A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</row>
    <row r="99" spans="1:27" s="56" customFormat="1" ht="15.75" customHeight="1">
      <c r="A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</row>
    <row r="100" spans="1:27" s="56" customFormat="1" ht="15.75" customHeight="1">
      <c r="A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</row>
    <row r="101" spans="1:27" s="56" customFormat="1" ht="15.75" customHeight="1">
      <c r="A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</row>
    <row r="102" spans="1:27" s="56" customFormat="1" ht="15.75" customHeight="1">
      <c r="A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</row>
    <row r="103" spans="1:27" s="56" customFormat="1" ht="15.75" customHeight="1">
      <c r="A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</row>
    <row r="104" spans="1:27" s="56" customFormat="1" ht="15.75" customHeight="1">
      <c r="A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</row>
    <row r="105" spans="1:27" s="56" customFormat="1" ht="15.75" customHeight="1">
      <c r="A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</row>
    <row r="106" spans="1:27" s="56" customFormat="1" ht="15.75" customHeight="1">
      <c r="A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</row>
    <row r="107" spans="1:27" s="56" customFormat="1" ht="15.75" customHeight="1">
      <c r="A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</row>
    <row r="108" spans="1:27" s="56" customFormat="1" ht="15.75" customHeight="1">
      <c r="A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</row>
    <row r="109" spans="1:27" s="56" customFormat="1" ht="15.75" customHeight="1">
      <c r="A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</row>
    <row r="110" spans="1:27" s="56" customFormat="1" ht="15.75" customHeight="1">
      <c r="A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</row>
    <row r="111" spans="1:27" s="56" customFormat="1" ht="15.75" customHeight="1">
      <c r="A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</row>
    <row r="112" spans="1:27" s="56" customFormat="1" ht="15.75" customHeight="1">
      <c r="A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</row>
    <row r="113" spans="1:27" s="56" customFormat="1" ht="15.75" customHeight="1">
      <c r="A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</row>
    <row r="114" spans="1:27" s="56" customFormat="1" ht="15.75" customHeight="1">
      <c r="A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</row>
    <row r="115" spans="1:27" s="56" customFormat="1" ht="15.75" customHeight="1">
      <c r="A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</row>
    <row r="116" spans="1:27" s="56" customFormat="1" ht="15.75" customHeight="1">
      <c r="A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</row>
    <row r="117" spans="1:27" s="56" customFormat="1" ht="15.75" customHeight="1">
      <c r="A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</row>
    <row r="118" spans="1:27" s="56" customFormat="1" ht="15.75" customHeight="1">
      <c r="A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</row>
    <row r="119" spans="1:27" s="56" customFormat="1" ht="15.75" customHeight="1">
      <c r="A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</row>
    <row r="120" spans="1:27" s="56" customFormat="1" ht="15.75" customHeight="1">
      <c r="A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</row>
    <row r="121" spans="1:27" s="56" customFormat="1" ht="15.75" customHeight="1">
      <c r="A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</row>
    <row r="122" spans="1:27" s="56" customFormat="1" ht="15.75" customHeight="1">
      <c r="A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</row>
    <row r="123" spans="1:27" s="56" customFormat="1" ht="15.75" customHeight="1">
      <c r="A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</row>
    <row r="124" spans="1:27" s="56" customFormat="1" ht="15.75" customHeight="1">
      <c r="A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</row>
    <row r="125" spans="1:27" s="56" customFormat="1" ht="15.75" customHeight="1">
      <c r="A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</row>
    <row r="126" spans="1:27" s="56" customFormat="1" ht="15.75" customHeight="1">
      <c r="A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</row>
    <row r="127" spans="1:27" s="56" customFormat="1" ht="15.75" customHeight="1">
      <c r="A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</row>
    <row r="128" spans="1:27" s="56" customFormat="1" ht="15.75" customHeight="1">
      <c r="A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</row>
    <row r="129" spans="1:27" s="56" customFormat="1" ht="15.75" customHeight="1">
      <c r="A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</row>
    <row r="130" spans="1:27" s="56" customFormat="1" ht="15.75" customHeight="1">
      <c r="A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</row>
    <row r="131" spans="1:27" s="56" customFormat="1" ht="15.75" customHeight="1">
      <c r="A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</row>
    <row r="132" spans="1:27" s="56" customFormat="1" ht="15.75" customHeight="1">
      <c r="A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</row>
    <row r="133" spans="1:27" s="56" customFormat="1" ht="15.75" customHeight="1">
      <c r="A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</row>
    <row r="134" spans="1:27" s="56" customFormat="1" ht="15.75" customHeight="1">
      <c r="A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</row>
    <row r="135" spans="1:27" s="56" customFormat="1" ht="15.75" customHeight="1">
      <c r="A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</row>
    <row r="136" spans="1:27" s="56" customFormat="1" ht="15.75" customHeight="1">
      <c r="A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</row>
    <row r="137" spans="1:27" s="56" customFormat="1" ht="15.75" customHeight="1">
      <c r="A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</row>
    <row r="138" spans="1:27" s="56" customFormat="1" ht="15.75" customHeight="1">
      <c r="A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</row>
    <row r="139" spans="1:27" s="56" customFormat="1" ht="15.75" customHeight="1">
      <c r="A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</row>
    <row r="140" spans="1:27" s="56" customFormat="1" ht="15.75" customHeight="1">
      <c r="A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</row>
    <row r="141" spans="1:27" s="56" customFormat="1" ht="15.75" customHeight="1">
      <c r="A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</row>
    <row r="142" spans="1:27" s="56" customFormat="1" ht="15.75" customHeight="1">
      <c r="A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</row>
    <row r="143" spans="1:27" s="56" customFormat="1" ht="15.75" customHeight="1">
      <c r="A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</row>
    <row r="144" spans="1:27" s="56" customFormat="1" ht="15.75" customHeight="1">
      <c r="A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</row>
    <row r="145" spans="1:27" s="56" customFormat="1" ht="15.75" customHeight="1">
      <c r="A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</row>
    <row r="146" spans="1:27" s="56" customFormat="1" ht="15.75" customHeight="1">
      <c r="A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</row>
    <row r="147" spans="1:27" s="56" customFormat="1" ht="15.75" customHeight="1">
      <c r="A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</row>
    <row r="148" spans="1:27" s="56" customFormat="1" ht="15.75" customHeight="1">
      <c r="A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</row>
    <row r="149" spans="1:27" s="56" customFormat="1" ht="15.75" customHeight="1">
      <c r="A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</row>
    <row r="150" spans="1:27" s="56" customFormat="1" ht="15.75" customHeight="1">
      <c r="A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</row>
    <row r="151" spans="1:27" s="56" customFormat="1" ht="15.75" customHeight="1">
      <c r="A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</row>
    <row r="152" spans="1:27" s="56" customFormat="1" ht="15.75" customHeight="1">
      <c r="A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</row>
    <row r="153" spans="1:27" s="56" customFormat="1" ht="15.75" customHeight="1">
      <c r="A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</row>
    <row r="154" spans="1:27" s="56" customFormat="1" ht="15.75" customHeight="1">
      <c r="A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</row>
    <row r="155" spans="1:27" s="56" customFormat="1" ht="15.75" customHeight="1">
      <c r="A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</row>
    <row r="156" spans="1:27" s="56" customFormat="1" ht="15.75" customHeight="1">
      <c r="A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</row>
    <row r="157" spans="1:27" s="56" customFormat="1" ht="15.75" customHeight="1">
      <c r="A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</row>
    <row r="158" spans="1:27" s="56" customFormat="1" ht="15.75" customHeight="1">
      <c r="A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</row>
    <row r="159" spans="1:27" s="56" customFormat="1" ht="15.75" customHeight="1">
      <c r="A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</row>
    <row r="160" spans="1:27" s="56" customFormat="1" ht="15.75" customHeight="1">
      <c r="A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</row>
    <row r="161" spans="1:27" s="56" customFormat="1" ht="15.75" customHeight="1">
      <c r="A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</row>
    <row r="162" spans="1:27" s="56" customFormat="1" ht="15.75" customHeight="1">
      <c r="A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</row>
    <row r="163" spans="1:27" s="56" customFormat="1" ht="15.75" customHeight="1">
      <c r="A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</row>
    <row r="164" spans="1:27" s="56" customFormat="1" ht="15.75" customHeight="1">
      <c r="A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</row>
    <row r="165" spans="1:27" s="56" customFormat="1" ht="15.75" customHeight="1">
      <c r="A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</row>
    <row r="166" spans="1:27" s="56" customFormat="1" ht="15.75" customHeight="1">
      <c r="A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</row>
    <row r="167" spans="1:27" s="56" customFormat="1" ht="15.75" customHeight="1">
      <c r="A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</row>
    <row r="168" spans="1:27" s="56" customFormat="1" ht="15.75" customHeight="1">
      <c r="A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</row>
    <row r="169" spans="1:27" s="56" customFormat="1" ht="15.75" customHeight="1">
      <c r="A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</row>
    <row r="170" spans="1:27" s="56" customFormat="1" ht="15.75" customHeight="1">
      <c r="A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</row>
    <row r="171" spans="1:27" s="56" customFormat="1" ht="15.75" customHeight="1">
      <c r="A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</row>
    <row r="172" spans="1:27" s="56" customFormat="1" ht="15.75" customHeight="1">
      <c r="A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</row>
    <row r="173" spans="1:27" s="56" customFormat="1" ht="15.75" customHeight="1">
      <c r="A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</row>
    <row r="174" spans="1:27" s="56" customFormat="1" ht="15.75" customHeight="1">
      <c r="A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</row>
    <row r="175" spans="1:27" s="56" customFormat="1" ht="15.75" customHeight="1">
      <c r="A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</row>
    <row r="176" spans="1:27" s="56" customFormat="1" ht="15.75" customHeight="1">
      <c r="A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</row>
    <row r="177" spans="1:27" s="56" customFormat="1" ht="15.75" customHeight="1">
      <c r="A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</row>
    <row r="178" spans="1:27" s="56" customFormat="1" ht="15.75" customHeight="1">
      <c r="A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</row>
    <row r="179" spans="1:27" s="56" customFormat="1" ht="15.75" customHeight="1">
      <c r="A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</row>
    <row r="180" spans="1:27" s="56" customFormat="1" ht="15.75" customHeight="1">
      <c r="A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</row>
    <row r="181" spans="1:27" s="56" customFormat="1" ht="15.75" customHeight="1">
      <c r="A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</row>
    <row r="182" spans="1:27" s="56" customFormat="1" ht="15.75" customHeight="1">
      <c r="A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</row>
    <row r="183" spans="1:27" s="56" customFormat="1" ht="15.75" customHeight="1">
      <c r="A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</row>
    <row r="184" spans="1:27" s="56" customFormat="1" ht="15.75" customHeight="1">
      <c r="A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</row>
    <row r="185" spans="1:27" s="56" customFormat="1" ht="15.75" customHeight="1">
      <c r="A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</row>
    <row r="186" spans="1:27" s="56" customFormat="1" ht="15.75" customHeight="1">
      <c r="A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</row>
    <row r="187" spans="1:27" s="56" customFormat="1" ht="15.75" customHeight="1">
      <c r="A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</row>
    <row r="188" spans="1:27" s="56" customFormat="1" ht="15.75" customHeight="1">
      <c r="A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</row>
    <row r="189" spans="1:27" s="56" customFormat="1" ht="15.75" customHeight="1">
      <c r="A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</row>
    <row r="190" spans="1:27" s="56" customFormat="1" ht="15.75" customHeight="1">
      <c r="A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</row>
    <row r="191" spans="1:27" s="56" customFormat="1" ht="15.75" customHeight="1">
      <c r="A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</row>
    <row r="192" spans="1:27" s="56" customFormat="1" ht="15.75" customHeight="1">
      <c r="A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</row>
    <row r="193" spans="1:27" s="56" customFormat="1" ht="15.75" customHeight="1">
      <c r="A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</row>
    <row r="194" spans="1:27" s="56" customFormat="1" ht="15.75" customHeight="1">
      <c r="A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</row>
    <row r="195" spans="1:27" s="56" customFormat="1" ht="15.75" customHeight="1">
      <c r="A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</row>
    <row r="196" spans="1:27" s="56" customFormat="1" ht="15.75" customHeight="1">
      <c r="A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</row>
    <row r="197" spans="1:27" s="56" customFormat="1" ht="15.75" customHeight="1">
      <c r="A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</row>
    <row r="198" spans="1:27" s="56" customFormat="1" ht="15.75" customHeight="1">
      <c r="A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</row>
    <row r="199" spans="1:27" s="56" customFormat="1" ht="15.75" customHeight="1">
      <c r="A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</row>
    <row r="200" spans="1:27" s="56" customFormat="1" ht="15.75" customHeight="1">
      <c r="A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</row>
    <row r="201" spans="1:27" s="56" customFormat="1" ht="15.75" customHeight="1">
      <c r="A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</row>
    <row r="202" spans="1:27" s="56" customFormat="1" ht="15.75" customHeight="1">
      <c r="A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</row>
    <row r="203" spans="1:27" s="56" customFormat="1" ht="15.75" customHeight="1">
      <c r="A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</row>
    <row r="204" spans="1:27" s="56" customFormat="1" ht="15.75" customHeight="1">
      <c r="A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</row>
    <row r="205" spans="1:27" s="56" customFormat="1" ht="15.75" customHeight="1">
      <c r="A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</row>
    <row r="206" spans="1:27" s="56" customFormat="1" ht="15.75" customHeight="1">
      <c r="A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</row>
    <row r="207" spans="1:27" s="56" customFormat="1" ht="15.75" customHeight="1">
      <c r="A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</row>
    <row r="208" spans="1:27" s="56" customFormat="1" ht="15.75" customHeight="1">
      <c r="A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</row>
    <row r="209" spans="1:27" s="56" customFormat="1" ht="15.75" customHeight="1">
      <c r="A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</row>
    <row r="210" spans="1:27" s="56" customFormat="1" ht="15.75" customHeight="1">
      <c r="A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</row>
    <row r="211" spans="1:27" s="56" customFormat="1" ht="15.75" customHeight="1">
      <c r="A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</row>
    <row r="212" spans="1:27" s="56" customFormat="1" ht="15.75" customHeight="1">
      <c r="A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</row>
    <row r="213" spans="1:27" s="56" customFormat="1" ht="15.75" customHeight="1">
      <c r="A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</row>
    <row r="214" spans="1:27" s="56" customFormat="1" ht="15.75" customHeight="1">
      <c r="A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</row>
    <row r="215" spans="1:27" s="56" customFormat="1" ht="15.75" customHeight="1">
      <c r="A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</row>
    <row r="216" spans="1:27" s="56" customFormat="1" ht="15.75" customHeight="1">
      <c r="A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</row>
    <row r="217" spans="1:27" s="56" customFormat="1" ht="15.75" customHeight="1">
      <c r="A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</row>
    <row r="218" spans="1:27" s="56" customFormat="1" ht="15.75" customHeight="1">
      <c r="A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</row>
    <row r="219" spans="1:27" s="56" customFormat="1" ht="15.75" customHeight="1">
      <c r="A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</row>
    <row r="220" spans="1:27" s="56" customFormat="1" ht="15.75" customHeight="1">
      <c r="A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</row>
    <row r="221" spans="1:27" s="56" customFormat="1" ht="15.75" customHeight="1">
      <c r="A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</row>
    <row r="222" spans="1:27" s="56" customFormat="1" ht="15.75" customHeight="1">
      <c r="A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</row>
    <row r="223" spans="1:27" s="56" customFormat="1" ht="15.75" customHeight="1">
      <c r="A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</row>
    <row r="224" spans="1:27" s="56" customFormat="1" ht="15.75" customHeight="1">
      <c r="A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</row>
    <row r="225" spans="1:27" s="56" customFormat="1" ht="15.75" customHeight="1">
      <c r="A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</row>
    <row r="226" spans="1:27" s="56" customFormat="1" ht="15.75" customHeight="1">
      <c r="A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</row>
    <row r="227" spans="1:27" s="56" customFormat="1" ht="15.75" customHeight="1">
      <c r="A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</row>
    <row r="228" spans="1:27" s="56" customFormat="1" ht="15.75" customHeight="1">
      <c r="A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</row>
    <row r="229" spans="1:27" s="56" customFormat="1" ht="15.75" customHeight="1">
      <c r="A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</row>
    <row r="230" spans="1:27" s="56" customFormat="1" ht="15.75" customHeight="1">
      <c r="A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</row>
    <row r="231" spans="1:27" s="56" customFormat="1" ht="15.75" customHeight="1">
      <c r="A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</row>
    <row r="232" spans="1:27" s="56" customFormat="1" ht="15.75" customHeight="1">
      <c r="A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</row>
    <row r="233" spans="1:27" s="56" customFormat="1" ht="15.75" customHeight="1">
      <c r="A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</row>
    <row r="234" spans="1:27" s="56" customFormat="1" ht="15.75" customHeight="1">
      <c r="A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</row>
    <row r="235" spans="1:27" s="56" customFormat="1" ht="15.75" customHeight="1">
      <c r="A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</row>
    <row r="236" spans="1:27" s="56" customFormat="1" ht="15.75" customHeight="1">
      <c r="A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</row>
    <row r="237" spans="1:27" s="56" customFormat="1" ht="15.75" customHeight="1">
      <c r="A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</row>
    <row r="238" spans="1:27" s="56" customFormat="1" ht="15.75" customHeight="1">
      <c r="A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</row>
    <row r="239" spans="1:27" s="56" customFormat="1" ht="15.75" customHeight="1">
      <c r="A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</row>
    <row r="240" spans="1:27" s="56" customFormat="1" ht="15.75" customHeight="1">
      <c r="A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</row>
    <row r="241" spans="1:27" s="56" customFormat="1" ht="15.75" customHeight="1">
      <c r="A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</row>
    <row r="242" spans="1:27" s="56" customFormat="1" ht="15.75" customHeight="1">
      <c r="A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</row>
    <row r="243" spans="1:27" s="56" customFormat="1" ht="15.75" customHeight="1">
      <c r="A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</row>
    <row r="244" spans="1:27" s="56" customFormat="1" ht="15.75" customHeight="1">
      <c r="A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</row>
    <row r="245" spans="1:27" s="56" customFormat="1" ht="15.75" customHeight="1">
      <c r="A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</row>
    <row r="246" spans="1:27" s="56" customFormat="1" ht="15.75" customHeight="1">
      <c r="A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</row>
    <row r="247" spans="1:27" s="56" customFormat="1" ht="15.75" customHeight="1">
      <c r="A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</row>
    <row r="248" spans="1:27" s="56" customFormat="1" ht="15.75" customHeight="1">
      <c r="A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</row>
    <row r="249" spans="1:27" s="56" customFormat="1" ht="15.75" customHeight="1">
      <c r="A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</row>
    <row r="250" spans="1:27" s="56" customFormat="1" ht="15.75" customHeight="1">
      <c r="A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</row>
    <row r="251" spans="1:27" s="56" customFormat="1" ht="15.75" customHeight="1">
      <c r="A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</row>
    <row r="252" spans="1:27" s="56" customFormat="1" ht="15.75" customHeight="1">
      <c r="A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</row>
    <row r="253" spans="1:27" s="56" customFormat="1" ht="15.75" customHeight="1">
      <c r="A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</row>
    <row r="254" spans="1:27" s="56" customFormat="1" ht="15.75" customHeight="1">
      <c r="A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</row>
    <row r="255" spans="1:27" s="56" customFormat="1" ht="15.75" customHeight="1">
      <c r="A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</row>
    <row r="256" spans="1:27" s="56" customFormat="1" ht="15.75" customHeight="1">
      <c r="A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</row>
    <row r="257" spans="1:27" s="56" customFormat="1" ht="15.75" customHeight="1">
      <c r="A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</row>
    <row r="258" spans="1:27" s="56" customFormat="1" ht="15.75" customHeight="1">
      <c r="A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</row>
    <row r="259" spans="1:27" s="56" customFormat="1" ht="15.75" customHeight="1">
      <c r="A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</row>
    <row r="260" spans="1:27" s="56" customFormat="1" ht="15.75" customHeight="1">
      <c r="A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</row>
    <row r="261" spans="1:27" s="56" customFormat="1" ht="15.75" customHeight="1">
      <c r="A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</row>
    <row r="262" spans="1:27" s="56" customFormat="1" ht="15.75" customHeight="1">
      <c r="A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</row>
    <row r="263" spans="1:27" s="56" customFormat="1" ht="15.75" customHeight="1">
      <c r="A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</row>
    <row r="264" spans="1:27" s="56" customFormat="1" ht="15.75" customHeight="1">
      <c r="A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</row>
    <row r="265" spans="1:27" s="56" customFormat="1" ht="15.75" customHeight="1">
      <c r="A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</row>
    <row r="266" spans="1:27" s="56" customFormat="1" ht="15.75" customHeight="1">
      <c r="A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</row>
    <row r="267" spans="1:27" s="56" customFormat="1" ht="15.75" customHeight="1">
      <c r="A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</row>
    <row r="268" spans="1:27" s="56" customFormat="1" ht="15.75" customHeight="1">
      <c r="A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</row>
    <row r="269" spans="1:27" s="56" customFormat="1" ht="15.75" customHeight="1">
      <c r="A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</row>
    <row r="270" spans="1:27" s="56" customFormat="1" ht="15.75" customHeight="1">
      <c r="A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</row>
    <row r="271" spans="1:27" s="56" customFormat="1" ht="15.75" customHeight="1">
      <c r="A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</row>
    <row r="272" spans="1:27" s="56" customFormat="1" ht="15.75" customHeight="1">
      <c r="A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</row>
    <row r="273" spans="1:27" s="56" customFormat="1" ht="15.75" customHeight="1">
      <c r="A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</row>
    <row r="274" spans="1:27" s="56" customFormat="1" ht="15.75" customHeight="1">
      <c r="A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</row>
    <row r="275" spans="1:27" s="56" customFormat="1" ht="15.75" customHeight="1">
      <c r="A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</row>
    <row r="276" spans="1:27" s="56" customFormat="1" ht="15.75" customHeight="1">
      <c r="A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</row>
    <row r="277" spans="1:27" s="56" customFormat="1" ht="15.75" customHeight="1">
      <c r="A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</row>
    <row r="278" spans="1:27" s="56" customFormat="1" ht="15.75" customHeight="1">
      <c r="A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</row>
    <row r="279" spans="1:27" s="56" customFormat="1" ht="15.75" customHeight="1">
      <c r="A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</row>
    <row r="280" spans="1:27" s="56" customFormat="1" ht="15.75" customHeight="1">
      <c r="A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</row>
    <row r="281" spans="1:27" s="56" customFormat="1" ht="15.75" customHeight="1">
      <c r="A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</row>
    <row r="282" spans="1:27" s="56" customFormat="1" ht="15.75" customHeight="1">
      <c r="A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</row>
    <row r="283" spans="1:27" s="56" customFormat="1" ht="15.75" customHeight="1">
      <c r="A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</row>
    <row r="284" spans="1:27" s="56" customFormat="1" ht="15.75" customHeight="1">
      <c r="A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</row>
    <row r="285" spans="1:27" s="56" customFormat="1" ht="15.75" customHeight="1">
      <c r="A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</row>
    <row r="286" spans="1:27" s="56" customFormat="1" ht="15.75" customHeight="1">
      <c r="A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</row>
    <row r="287" spans="1:27" s="56" customFormat="1" ht="15.75" customHeight="1">
      <c r="A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</row>
    <row r="288" spans="1:27" s="56" customFormat="1" ht="15.75" customHeight="1">
      <c r="A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</row>
    <row r="289" spans="1:27" s="56" customFormat="1" ht="15.75" customHeight="1">
      <c r="A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</row>
    <row r="290" spans="1:27" s="56" customFormat="1" ht="15.75" customHeight="1">
      <c r="A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</row>
    <row r="291" spans="1:27" s="56" customFormat="1" ht="15.75" customHeight="1">
      <c r="A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</row>
    <row r="292" spans="1:27" s="56" customFormat="1" ht="15.75" customHeight="1">
      <c r="A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</row>
    <row r="293" spans="1:27" s="56" customFormat="1" ht="15.75" customHeight="1">
      <c r="A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</row>
    <row r="294" spans="1:27" s="56" customFormat="1" ht="15.75" customHeight="1">
      <c r="A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</row>
    <row r="295" spans="1:27" s="56" customFormat="1" ht="15.75" customHeight="1">
      <c r="A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</row>
    <row r="296" spans="1:27" s="56" customFormat="1" ht="15.75" customHeight="1">
      <c r="A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</row>
    <row r="297" spans="1:27" s="56" customFormat="1" ht="15.75" customHeight="1">
      <c r="A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</row>
    <row r="298" spans="1:27" s="56" customFormat="1" ht="15.75" customHeight="1">
      <c r="A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</row>
    <row r="299" spans="1:27" s="56" customFormat="1" ht="15.75" customHeight="1">
      <c r="A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</row>
    <row r="300" spans="1:27" s="56" customFormat="1" ht="15.75" customHeight="1">
      <c r="A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</row>
    <row r="301" spans="1:27" s="56" customFormat="1" ht="15.75" customHeight="1">
      <c r="A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</row>
    <row r="302" spans="1:27" s="56" customFormat="1" ht="15.75" customHeight="1">
      <c r="A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</row>
    <row r="303" spans="1:27" s="56" customFormat="1" ht="15.75" customHeight="1">
      <c r="A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</row>
    <row r="304" spans="1:27" s="56" customFormat="1" ht="15.75" customHeight="1">
      <c r="A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</row>
    <row r="305" spans="1:27" s="56" customFormat="1" ht="15.75" customHeight="1">
      <c r="A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</row>
    <row r="306" spans="1:27" s="56" customFormat="1" ht="15.75" customHeight="1">
      <c r="A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</row>
    <row r="307" spans="1:27" s="56" customFormat="1" ht="15.75" customHeight="1">
      <c r="A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</row>
    <row r="308" spans="1:27" s="56" customFormat="1" ht="15.75" customHeight="1">
      <c r="A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</row>
    <row r="309" spans="1:27" s="56" customFormat="1" ht="15.75" customHeight="1">
      <c r="A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</row>
    <row r="310" spans="1:27" s="56" customFormat="1" ht="15.75" customHeight="1">
      <c r="A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</row>
    <row r="311" spans="1:27" s="56" customFormat="1" ht="15.75" customHeight="1">
      <c r="A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</row>
    <row r="312" spans="1:27" s="56" customFormat="1" ht="15.75" customHeight="1">
      <c r="A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</row>
    <row r="313" spans="1:27" s="56" customFormat="1" ht="15.75" customHeight="1">
      <c r="A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</row>
    <row r="314" spans="1:27" s="56" customFormat="1" ht="15.75" customHeight="1">
      <c r="A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</row>
    <row r="315" spans="1:27" s="56" customFormat="1" ht="15.75" customHeight="1">
      <c r="A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</row>
    <row r="316" spans="1:27" s="56" customFormat="1" ht="15.75" customHeight="1">
      <c r="A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</row>
    <row r="317" spans="1:27" s="56" customFormat="1" ht="15.75" customHeight="1">
      <c r="A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</row>
    <row r="318" spans="1:27" s="56" customFormat="1" ht="15.75" customHeight="1">
      <c r="A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</row>
    <row r="319" spans="1:27" s="56" customFormat="1" ht="15.75" customHeight="1">
      <c r="A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</row>
    <row r="320" spans="1:27" s="56" customFormat="1" ht="15.75" customHeight="1">
      <c r="A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</row>
    <row r="321" spans="1:27" s="56" customFormat="1" ht="15.75" customHeight="1">
      <c r="A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</row>
    <row r="322" spans="1:27" s="56" customFormat="1" ht="15.75" customHeight="1">
      <c r="A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</row>
    <row r="323" spans="1:27" s="56" customFormat="1" ht="15.75" customHeight="1">
      <c r="A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</row>
    <row r="324" spans="1:27" s="56" customFormat="1" ht="15.75" customHeight="1">
      <c r="A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</row>
    <row r="325" spans="1:27" s="56" customFormat="1" ht="15.75" customHeight="1">
      <c r="A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</row>
    <row r="326" spans="1:27" s="56" customFormat="1" ht="15.75" customHeight="1">
      <c r="A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</row>
    <row r="327" spans="1:27" s="56" customFormat="1" ht="15.75" customHeight="1">
      <c r="A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</row>
    <row r="328" spans="1:27" s="56" customFormat="1" ht="15.75" customHeight="1">
      <c r="A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</row>
    <row r="329" spans="1:27" s="56" customFormat="1" ht="15.75" customHeight="1">
      <c r="A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</row>
    <row r="330" spans="1:27" s="56" customFormat="1" ht="15.75" customHeight="1">
      <c r="A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</row>
    <row r="331" spans="1:27" s="56" customFormat="1" ht="15.75" customHeight="1">
      <c r="A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</row>
    <row r="332" spans="1:27" s="56" customFormat="1" ht="15.75" customHeight="1">
      <c r="A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</row>
    <row r="333" spans="1:27" s="56" customFormat="1" ht="15.75" customHeight="1">
      <c r="A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</row>
    <row r="334" spans="1:27" s="56" customFormat="1" ht="15.75" customHeight="1">
      <c r="A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</row>
    <row r="335" spans="1:27" s="56" customFormat="1" ht="15.75" customHeight="1">
      <c r="A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</row>
    <row r="336" spans="1:27" s="56" customFormat="1" ht="15.75" customHeight="1">
      <c r="A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</row>
    <row r="337" spans="1:27" s="56" customFormat="1" ht="15.75" customHeight="1">
      <c r="A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</row>
    <row r="338" spans="1:27" s="56" customFormat="1" ht="15.75" customHeight="1">
      <c r="A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</row>
    <row r="339" spans="1:27" s="56" customFormat="1" ht="15.75" customHeight="1">
      <c r="A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</row>
    <row r="340" spans="1:27" s="56" customFormat="1" ht="15.75" customHeight="1">
      <c r="A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</row>
    <row r="341" spans="1:27" s="56" customFormat="1" ht="15.75" customHeight="1">
      <c r="A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</row>
    <row r="342" spans="1:27" s="56" customFormat="1" ht="15.75" customHeight="1">
      <c r="A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</row>
    <row r="343" spans="1:27" s="56" customFormat="1" ht="15.75" customHeight="1">
      <c r="A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</row>
    <row r="344" spans="1:27" s="56" customFormat="1" ht="15.75" customHeight="1">
      <c r="A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</row>
    <row r="345" spans="1:27" s="56" customFormat="1" ht="15.75" customHeight="1">
      <c r="A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</row>
    <row r="346" spans="1:27" s="56" customFormat="1" ht="15.75" customHeight="1">
      <c r="A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</row>
    <row r="347" spans="1:27" s="56" customFormat="1" ht="15.75" customHeight="1">
      <c r="A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</row>
    <row r="348" spans="1:27" s="56" customFormat="1" ht="15.75" customHeight="1">
      <c r="A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</row>
    <row r="349" spans="1:27" s="56" customFormat="1" ht="15.75" customHeight="1">
      <c r="A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</row>
    <row r="350" spans="1:27" s="56" customFormat="1" ht="15.75" customHeight="1">
      <c r="A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</row>
    <row r="351" spans="1:27" s="56" customFormat="1" ht="15.75" customHeight="1">
      <c r="A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</row>
    <row r="352" spans="1:27" s="56" customFormat="1" ht="15.75" customHeight="1">
      <c r="A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</row>
    <row r="353" spans="1:27" s="56" customFormat="1" ht="15.75" customHeight="1">
      <c r="A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</row>
    <row r="354" spans="1:27" s="56" customFormat="1" ht="15.75" customHeight="1">
      <c r="A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</row>
    <row r="355" spans="1:27" s="56" customFormat="1" ht="15.75" customHeight="1">
      <c r="A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</row>
    <row r="356" spans="1:27" s="56" customFormat="1" ht="15.75" customHeight="1">
      <c r="A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</row>
    <row r="357" spans="1:27" s="56" customFormat="1" ht="15.75" customHeight="1">
      <c r="A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</row>
    <row r="358" spans="1:27" s="56" customFormat="1" ht="15.75" customHeight="1">
      <c r="A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</row>
    <row r="359" spans="1:27" s="56" customFormat="1" ht="15.75" customHeight="1">
      <c r="A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</row>
    <row r="360" spans="1:27" s="56" customFormat="1" ht="15.75" customHeight="1">
      <c r="A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</row>
    <row r="361" spans="1:27" s="56" customFormat="1" ht="15.75" customHeight="1">
      <c r="A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</row>
    <row r="362" spans="1:27" s="56" customFormat="1" ht="15.75" customHeight="1">
      <c r="A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</row>
    <row r="363" spans="1:27" s="56" customFormat="1" ht="15.75" customHeight="1">
      <c r="A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</row>
    <row r="364" spans="1:27" s="56" customFormat="1" ht="15.75" customHeight="1">
      <c r="A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</row>
    <row r="365" spans="1:27" s="56" customFormat="1" ht="15.75" customHeight="1">
      <c r="A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</row>
    <row r="366" spans="1:27" s="56" customFormat="1" ht="15.75" customHeight="1">
      <c r="A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</row>
    <row r="367" spans="1:27" s="56" customFormat="1" ht="15.75" customHeight="1">
      <c r="A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</row>
    <row r="368" spans="1:27" s="56" customFormat="1" ht="15.75" customHeight="1">
      <c r="A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</row>
    <row r="369" spans="1:27" s="56" customFormat="1" ht="15.75" customHeight="1">
      <c r="A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</row>
    <row r="370" spans="1:27" s="56" customFormat="1" ht="15.75" customHeight="1">
      <c r="A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</row>
    <row r="371" spans="1:27" s="56" customFormat="1" ht="15.75" customHeight="1">
      <c r="A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</row>
    <row r="372" spans="1:27" s="56" customFormat="1" ht="15.75" customHeight="1">
      <c r="A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</row>
    <row r="373" spans="1:27" s="56" customFormat="1" ht="15.75" customHeight="1">
      <c r="A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</row>
    <row r="374" spans="1:27" s="56" customFormat="1" ht="15.75" customHeight="1">
      <c r="A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</row>
    <row r="375" spans="1:27" s="56" customFormat="1" ht="15.75" customHeight="1">
      <c r="A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</row>
    <row r="376" spans="1:27" s="56" customFormat="1" ht="15.75" customHeight="1">
      <c r="A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</row>
    <row r="377" spans="1:27" s="56" customFormat="1" ht="15.75" customHeight="1">
      <c r="A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</row>
    <row r="378" spans="1:27" s="56" customFormat="1" ht="15.75" customHeight="1">
      <c r="A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</row>
    <row r="379" spans="1:27" s="56" customFormat="1" ht="15.75" customHeight="1">
      <c r="A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</row>
    <row r="380" spans="1:27" s="56" customFormat="1" ht="15.75" customHeight="1">
      <c r="A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</row>
    <row r="381" spans="1:27" s="56" customFormat="1" ht="15.75" customHeight="1">
      <c r="A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</row>
    <row r="382" spans="1:27" s="56" customFormat="1" ht="15.75" customHeight="1">
      <c r="A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</row>
    <row r="383" spans="1:27" s="56" customFormat="1" ht="15.75" customHeight="1">
      <c r="A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</row>
    <row r="384" spans="1:27" s="56" customFormat="1" ht="15.75" customHeight="1">
      <c r="A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</row>
    <row r="385" spans="1:27" s="56" customFormat="1" ht="15.75" customHeight="1">
      <c r="A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</row>
    <row r="386" spans="1:27" s="56" customFormat="1" ht="15.75" customHeight="1">
      <c r="A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</row>
    <row r="387" spans="1:27" s="56" customFormat="1" ht="15.75" customHeight="1">
      <c r="A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</row>
    <row r="388" spans="1:27" s="56" customFormat="1" ht="15.75" customHeight="1">
      <c r="A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</row>
    <row r="389" spans="1:27" s="56" customFormat="1" ht="15.75" customHeight="1">
      <c r="A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</row>
    <row r="390" spans="1:27" s="56" customFormat="1" ht="15.75" customHeight="1">
      <c r="A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</row>
    <row r="391" spans="1:27" s="56" customFormat="1" ht="15.75" customHeight="1">
      <c r="A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</row>
    <row r="392" spans="1:27" s="56" customFormat="1" ht="15.75" customHeight="1">
      <c r="A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</row>
    <row r="393" spans="1:27" s="56" customFormat="1" ht="15.75" customHeight="1">
      <c r="A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</row>
    <row r="394" spans="1:27" s="56" customFormat="1" ht="15.75" customHeight="1">
      <c r="A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</row>
    <row r="395" spans="1:27" s="56" customFormat="1" ht="15.75" customHeight="1">
      <c r="A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</row>
    <row r="396" spans="1:27" s="56" customFormat="1" ht="15.75" customHeight="1">
      <c r="A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</row>
    <row r="397" spans="1:27" s="56" customFormat="1" ht="15.75" customHeight="1">
      <c r="A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</row>
    <row r="398" spans="1:27" s="56" customFormat="1" ht="15.75" customHeight="1">
      <c r="A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</row>
    <row r="399" spans="1:27" s="56" customFormat="1" ht="15.75" customHeight="1">
      <c r="A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</row>
    <row r="400" spans="1:27" s="56" customFormat="1" ht="15.75" customHeight="1">
      <c r="A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</row>
    <row r="401" spans="1:27" s="56" customFormat="1" ht="15.75" customHeight="1">
      <c r="A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</row>
    <row r="402" spans="1:27" s="56" customFormat="1" ht="15.75" customHeight="1">
      <c r="A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</row>
    <row r="403" spans="1:27" s="56" customFormat="1" ht="15.75" customHeight="1">
      <c r="A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</row>
    <row r="404" spans="1:27" s="56" customFormat="1" ht="15.75" customHeight="1">
      <c r="A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</row>
    <row r="405" spans="1:27" s="56" customFormat="1" ht="15.75" customHeight="1">
      <c r="A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</row>
    <row r="406" spans="1:27" s="56" customFormat="1" ht="15.75" customHeight="1">
      <c r="A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</row>
    <row r="407" spans="1:27" s="56" customFormat="1" ht="15.75" customHeight="1">
      <c r="A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</row>
    <row r="408" spans="1:27" s="56" customFormat="1" ht="15.75" customHeight="1">
      <c r="A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</row>
    <row r="409" spans="1:27" s="56" customFormat="1" ht="15.75" customHeight="1">
      <c r="A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</row>
    <row r="410" spans="1:27" s="56" customFormat="1" ht="15.75" customHeight="1">
      <c r="A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</row>
    <row r="411" spans="1:27" s="56" customFormat="1" ht="15.75" customHeight="1">
      <c r="A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</row>
    <row r="412" spans="1:27" s="56" customFormat="1" ht="15.75" customHeight="1">
      <c r="A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</row>
    <row r="413" spans="1:27" s="56" customFormat="1" ht="15.75" customHeight="1">
      <c r="A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</row>
    <row r="414" spans="1:27" s="56" customFormat="1" ht="15.75" customHeight="1">
      <c r="A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</row>
    <row r="415" spans="1:27" s="56" customFormat="1" ht="15.75" customHeight="1">
      <c r="A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</row>
    <row r="416" spans="1:27" s="56" customFormat="1" ht="15.75" customHeight="1">
      <c r="A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</row>
    <row r="417" spans="1:27" s="56" customFormat="1" ht="15.75" customHeight="1">
      <c r="A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</row>
    <row r="418" spans="1:27" s="56" customFormat="1" ht="15.75" customHeight="1">
      <c r="A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</row>
    <row r="419" spans="1:27" s="56" customFormat="1" ht="15.75" customHeight="1">
      <c r="A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</row>
    <row r="420" spans="1:27" s="56" customFormat="1" ht="15.75" customHeight="1">
      <c r="A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</row>
    <row r="421" spans="1:27" s="56" customFormat="1" ht="15.75" customHeight="1">
      <c r="A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</row>
    <row r="422" spans="1:27" s="56" customFormat="1" ht="15.75" customHeight="1">
      <c r="A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</row>
    <row r="423" spans="1:27" s="56" customFormat="1" ht="15.75" customHeight="1">
      <c r="A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</row>
    <row r="424" spans="1:27" s="56" customFormat="1" ht="15.75" customHeight="1">
      <c r="A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</row>
    <row r="425" spans="1:27" s="56" customFormat="1" ht="15.75" customHeight="1">
      <c r="A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</row>
    <row r="426" spans="1:27" s="56" customFormat="1" ht="15.75" customHeight="1">
      <c r="A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</row>
    <row r="427" spans="1:27" s="56" customFormat="1" ht="15.75" customHeight="1">
      <c r="A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</row>
    <row r="428" spans="1:27" s="56" customFormat="1" ht="15.75" customHeight="1">
      <c r="A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</row>
    <row r="429" spans="1:27" s="56" customFormat="1" ht="15.75" customHeight="1">
      <c r="A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</row>
    <row r="430" spans="1:27" s="56" customFormat="1" ht="15.75" customHeight="1">
      <c r="A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</row>
    <row r="431" spans="1:27" s="56" customFormat="1" ht="15.75" customHeight="1">
      <c r="A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</row>
    <row r="432" spans="1:27" s="56" customFormat="1" ht="15.75" customHeight="1">
      <c r="A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</row>
    <row r="433" spans="1:27" s="56" customFormat="1" ht="15.75" customHeight="1">
      <c r="A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</row>
    <row r="434" spans="1:27" s="56" customFormat="1" ht="15.75" customHeight="1">
      <c r="A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</row>
    <row r="435" spans="1:27" s="56" customFormat="1" ht="15.75" customHeight="1">
      <c r="A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</row>
    <row r="436" spans="1:27" s="56" customFormat="1" ht="15.75" customHeight="1">
      <c r="A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</row>
    <row r="437" spans="1:27" s="56" customFormat="1" ht="15.75" customHeight="1">
      <c r="A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</row>
    <row r="438" spans="1:27" s="56" customFormat="1" ht="15.75" customHeight="1">
      <c r="A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</row>
    <row r="439" spans="1:27" s="56" customFormat="1" ht="15.75" customHeight="1">
      <c r="A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</row>
    <row r="440" spans="1:27" s="56" customFormat="1" ht="15.75" customHeight="1">
      <c r="A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</row>
    <row r="441" spans="1:27" s="56" customFormat="1" ht="15.75" customHeight="1">
      <c r="A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</row>
    <row r="442" spans="1:27" s="56" customFormat="1" ht="15.75" customHeight="1">
      <c r="A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</row>
    <row r="443" spans="1:27" s="56" customFormat="1" ht="15.75" customHeight="1">
      <c r="A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</row>
    <row r="444" spans="1:27" s="56" customFormat="1" ht="15.75" customHeight="1">
      <c r="A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</row>
    <row r="445" spans="1:27" s="56" customFormat="1" ht="15.75" customHeight="1">
      <c r="A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</row>
    <row r="446" spans="1:27" s="56" customFormat="1" ht="15.75" customHeight="1">
      <c r="A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</row>
    <row r="447" spans="1:27" s="56" customFormat="1" ht="15.75" customHeight="1">
      <c r="A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</row>
    <row r="448" spans="1:27" s="56" customFormat="1" ht="15.75" customHeight="1">
      <c r="A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</row>
    <row r="449" spans="1:27" s="56" customFormat="1" ht="15.75" customHeight="1">
      <c r="A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</row>
    <row r="450" spans="1:27" s="56" customFormat="1" ht="15.75" customHeight="1">
      <c r="A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</row>
    <row r="451" spans="1:27" s="56" customFormat="1" ht="15.75" customHeight="1">
      <c r="A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</row>
    <row r="452" spans="1:27" s="56" customFormat="1" ht="15.75" customHeight="1">
      <c r="A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</row>
    <row r="453" spans="1:27" s="56" customFormat="1" ht="15.75" customHeight="1">
      <c r="A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</row>
    <row r="454" spans="1:27" s="56" customFormat="1" ht="15.75" customHeight="1">
      <c r="A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</row>
    <row r="455" spans="1:27" s="56" customFormat="1" ht="15.75" customHeight="1">
      <c r="A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</row>
    <row r="456" spans="1:27" s="56" customFormat="1" ht="15.75" customHeight="1">
      <c r="A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</row>
    <row r="457" spans="1:27" s="56" customFormat="1" ht="15.75" customHeight="1">
      <c r="A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</row>
    <row r="458" spans="1:27" s="56" customFormat="1" ht="15.75" customHeight="1">
      <c r="A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</row>
    <row r="459" spans="1:27" s="56" customFormat="1" ht="15.75" customHeight="1">
      <c r="A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</row>
    <row r="460" spans="1:27" s="56" customFormat="1" ht="15.75" customHeight="1">
      <c r="A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</row>
    <row r="461" spans="1:27" s="56" customFormat="1" ht="15.75" customHeight="1">
      <c r="A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</row>
    <row r="462" spans="1:27" s="56" customFormat="1" ht="15.75" customHeight="1">
      <c r="A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</row>
    <row r="463" spans="1:27" s="56" customFormat="1" ht="15.75" customHeight="1">
      <c r="A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</row>
    <row r="464" spans="1:27" s="56" customFormat="1" ht="15.75" customHeight="1">
      <c r="A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</row>
    <row r="465" spans="1:27" s="56" customFormat="1" ht="15.75" customHeight="1">
      <c r="A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</row>
    <row r="466" spans="1:27" s="56" customFormat="1" ht="15.75" customHeight="1">
      <c r="A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</row>
    <row r="467" spans="1:27" s="56" customFormat="1" ht="15.75" customHeight="1">
      <c r="A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</row>
    <row r="468" spans="1:27" s="56" customFormat="1" ht="15.75" customHeight="1">
      <c r="A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</row>
    <row r="469" spans="1:27" s="56" customFormat="1" ht="15.75" customHeight="1">
      <c r="A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</row>
    <row r="470" spans="1:27" s="56" customFormat="1" ht="15.75" customHeight="1">
      <c r="A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</row>
    <row r="471" spans="1:27" s="56" customFormat="1" ht="15.75" customHeight="1">
      <c r="A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</row>
    <row r="472" spans="1:27" s="56" customFormat="1" ht="15.75" customHeight="1">
      <c r="A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</row>
    <row r="473" spans="1:27" s="56" customFormat="1" ht="15.75" customHeight="1">
      <c r="A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</row>
    <row r="474" spans="1:27" s="56" customFormat="1" ht="15.75" customHeight="1">
      <c r="A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</row>
    <row r="475" spans="1:27" s="56" customFormat="1" ht="15.75" customHeight="1">
      <c r="A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</row>
    <row r="476" spans="1:27" s="56" customFormat="1" ht="15.75" customHeight="1">
      <c r="A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</row>
    <row r="477" spans="1:27" s="56" customFormat="1" ht="15.75" customHeight="1">
      <c r="A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</row>
    <row r="478" spans="1:27" s="56" customFormat="1" ht="15.75" customHeight="1">
      <c r="A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</row>
    <row r="479" spans="1:27" s="56" customFormat="1" ht="15.75" customHeight="1">
      <c r="A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</row>
    <row r="480" spans="1:27" s="56" customFormat="1" ht="15.75" customHeight="1">
      <c r="A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</row>
    <row r="481" spans="1:27" s="56" customFormat="1" ht="15.75" customHeight="1">
      <c r="A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</row>
    <row r="482" spans="1:27" s="56" customFormat="1" ht="15.75" customHeight="1">
      <c r="A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</row>
    <row r="483" spans="1:27" s="56" customFormat="1" ht="15.75" customHeight="1">
      <c r="A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</row>
    <row r="484" spans="1:27" s="56" customFormat="1" ht="15.75" customHeight="1">
      <c r="A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</row>
    <row r="485" spans="1:27" s="56" customFormat="1" ht="15.75" customHeight="1">
      <c r="A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</row>
    <row r="486" spans="1:27" s="56" customFormat="1" ht="15.75" customHeight="1">
      <c r="A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</row>
    <row r="487" spans="1:27" s="56" customFormat="1" ht="15.75" customHeight="1">
      <c r="A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</row>
    <row r="488" spans="1:27" s="56" customFormat="1" ht="15.75" customHeight="1">
      <c r="A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</row>
    <row r="489" spans="1:27" s="56" customFormat="1" ht="15.75" customHeight="1">
      <c r="A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</row>
    <row r="490" spans="1:27" s="56" customFormat="1" ht="15.75" customHeight="1">
      <c r="A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</row>
    <row r="491" spans="1:27" s="56" customFormat="1" ht="15.75" customHeight="1">
      <c r="A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</row>
    <row r="492" spans="1:27" s="56" customFormat="1" ht="15.75" customHeight="1">
      <c r="A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</row>
    <row r="493" spans="1:27" s="56" customFormat="1" ht="15.75" customHeight="1">
      <c r="A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</row>
    <row r="494" spans="1:27" s="56" customFormat="1" ht="15.75" customHeight="1">
      <c r="A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</row>
    <row r="495" spans="1:27" s="56" customFormat="1" ht="15.75" customHeight="1">
      <c r="A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</row>
    <row r="496" spans="1:27" s="56" customFormat="1" ht="15.75" customHeight="1">
      <c r="A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</row>
    <row r="497" spans="1:27" s="56" customFormat="1" ht="15.75" customHeight="1">
      <c r="A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</row>
    <row r="498" spans="1:27" s="56" customFormat="1" ht="15.75" customHeight="1">
      <c r="A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</row>
    <row r="499" spans="1:27" s="56" customFormat="1" ht="15.75" customHeight="1">
      <c r="A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</row>
    <row r="500" spans="1:27" s="56" customFormat="1" ht="15.75" customHeight="1">
      <c r="A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</row>
    <row r="501" spans="1:27" s="56" customFormat="1" ht="15.75" customHeight="1">
      <c r="A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</row>
    <row r="502" spans="1:27" s="56" customFormat="1" ht="15.75" customHeight="1">
      <c r="A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</row>
    <row r="503" spans="1:27" s="56" customFormat="1" ht="15.75" customHeight="1">
      <c r="A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</row>
    <row r="504" spans="1:27" s="56" customFormat="1" ht="15.75" customHeight="1">
      <c r="A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</row>
    <row r="505" spans="1:27" s="56" customFormat="1" ht="15.75" customHeight="1">
      <c r="A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</row>
    <row r="506" spans="1:27" s="56" customFormat="1" ht="15.75" customHeight="1">
      <c r="A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</row>
    <row r="507" spans="1:27" s="56" customFormat="1" ht="15.75" customHeight="1">
      <c r="A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</row>
    <row r="508" spans="1:27" s="56" customFormat="1" ht="15.75" customHeight="1">
      <c r="A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</row>
    <row r="509" spans="1:27" s="56" customFormat="1" ht="15.75" customHeight="1">
      <c r="A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</row>
    <row r="510" spans="1:27" s="56" customFormat="1" ht="15.75" customHeight="1">
      <c r="A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</row>
    <row r="511" spans="1:27" s="56" customFormat="1" ht="15.75" customHeight="1">
      <c r="A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</row>
    <row r="512" spans="1:27" s="56" customFormat="1" ht="15.75" customHeight="1">
      <c r="A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</row>
    <row r="513" spans="1:27" s="56" customFormat="1" ht="15.75" customHeight="1">
      <c r="A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</row>
    <row r="514" spans="1:27" s="56" customFormat="1" ht="15.75" customHeight="1">
      <c r="A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</row>
    <row r="515" spans="1:27" s="56" customFormat="1" ht="15.75" customHeight="1">
      <c r="A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</row>
    <row r="516" spans="1:27" s="56" customFormat="1" ht="15.75" customHeight="1">
      <c r="A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</row>
    <row r="517" spans="1:27" s="56" customFormat="1" ht="15.75" customHeight="1">
      <c r="A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</row>
    <row r="518" spans="1:27" s="56" customFormat="1" ht="15.75" customHeight="1">
      <c r="A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</row>
    <row r="519" spans="1:27" s="56" customFormat="1" ht="15.75" customHeight="1">
      <c r="A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</row>
    <row r="520" spans="1:27" s="56" customFormat="1" ht="15.75" customHeight="1">
      <c r="A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</row>
    <row r="521" spans="1:27" s="56" customFormat="1" ht="15.75" customHeight="1">
      <c r="A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</row>
    <row r="522" spans="1:27" s="56" customFormat="1" ht="15.75" customHeight="1">
      <c r="A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</row>
    <row r="523" spans="1:27" s="56" customFormat="1" ht="15.75" customHeight="1">
      <c r="A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</row>
    <row r="524" spans="1:27" s="56" customFormat="1" ht="15.75" customHeight="1">
      <c r="A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</row>
    <row r="525" spans="1:27" s="56" customFormat="1" ht="15.75" customHeight="1">
      <c r="A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</row>
    <row r="526" spans="1:27" s="56" customFormat="1" ht="15.75" customHeight="1">
      <c r="A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</row>
    <row r="527" spans="1:27" s="56" customFormat="1" ht="15.75" customHeight="1">
      <c r="A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</row>
    <row r="528" spans="1:27" s="56" customFormat="1" ht="15.75" customHeight="1">
      <c r="A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</row>
    <row r="529" spans="1:27" s="56" customFormat="1" ht="15.75" customHeight="1">
      <c r="A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</row>
    <row r="530" spans="1:27" s="56" customFormat="1" ht="15.75" customHeight="1">
      <c r="A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</row>
    <row r="531" spans="1:27" s="56" customFormat="1" ht="15.75" customHeight="1">
      <c r="A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</row>
    <row r="532" spans="1:27" s="56" customFormat="1" ht="15.75" customHeight="1">
      <c r="A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</row>
    <row r="533" spans="1:27" s="56" customFormat="1" ht="15.75" customHeight="1">
      <c r="A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</row>
    <row r="534" spans="1:27" s="56" customFormat="1" ht="15.75" customHeight="1">
      <c r="A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</row>
    <row r="535" spans="1:27" s="56" customFormat="1" ht="15.75" customHeight="1">
      <c r="A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</row>
    <row r="536" spans="1:27" s="56" customFormat="1" ht="15.75" customHeight="1">
      <c r="A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</row>
    <row r="537" spans="1:27" s="56" customFormat="1" ht="15.75" customHeight="1">
      <c r="A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</row>
    <row r="538" spans="1:27" s="56" customFormat="1" ht="15.75" customHeight="1">
      <c r="A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</row>
    <row r="539" spans="1:27" s="56" customFormat="1" ht="15.75" customHeight="1">
      <c r="A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</row>
    <row r="540" spans="1:27" s="56" customFormat="1" ht="15.75" customHeight="1">
      <c r="A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</row>
    <row r="541" spans="1:27" s="56" customFormat="1" ht="15.75" customHeight="1">
      <c r="A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</row>
    <row r="542" spans="1:27" s="56" customFormat="1" ht="15.75" customHeight="1">
      <c r="A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</row>
    <row r="543" spans="1:27" s="56" customFormat="1" ht="15.75" customHeight="1">
      <c r="A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</row>
    <row r="544" spans="1:27" s="56" customFormat="1" ht="15.75" customHeight="1">
      <c r="A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</row>
    <row r="545" spans="1:27" s="56" customFormat="1" ht="15.75" customHeight="1">
      <c r="A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</row>
    <row r="546" spans="1:27" s="56" customFormat="1" ht="15.75" customHeight="1">
      <c r="A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</row>
    <row r="547" spans="1:27" s="56" customFormat="1" ht="15.75" customHeight="1">
      <c r="A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</row>
    <row r="548" spans="1:27" s="56" customFormat="1" ht="15.75" customHeight="1">
      <c r="A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</row>
    <row r="549" spans="1:27" s="56" customFormat="1" ht="15.75" customHeight="1">
      <c r="A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</row>
    <row r="550" spans="1:27" s="56" customFormat="1" ht="15.75" customHeight="1">
      <c r="A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</row>
    <row r="551" spans="1:27" s="56" customFormat="1" ht="15.75" customHeight="1">
      <c r="A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</row>
    <row r="552" spans="1:27" s="56" customFormat="1" ht="15.75" customHeight="1">
      <c r="A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</row>
    <row r="553" spans="1:27" s="56" customFormat="1" ht="15.75" customHeight="1">
      <c r="A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</row>
    <row r="554" spans="1:27" s="56" customFormat="1" ht="15.75" customHeight="1">
      <c r="A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</row>
    <row r="555" spans="1:27" s="56" customFormat="1" ht="15.75" customHeight="1">
      <c r="A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</row>
    <row r="556" spans="1:27" s="56" customFormat="1" ht="15.75" customHeight="1">
      <c r="A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</row>
    <row r="557" spans="1:27" s="56" customFormat="1" ht="15.75" customHeight="1">
      <c r="A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</row>
    <row r="558" spans="1:27" s="56" customFormat="1" ht="15.75" customHeight="1">
      <c r="A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</row>
    <row r="559" spans="1:27" s="56" customFormat="1" ht="15.75" customHeight="1">
      <c r="A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</row>
    <row r="560" spans="1:27" s="56" customFormat="1" ht="15.75" customHeight="1">
      <c r="A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</row>
    <row r="561" spans="1:27" s="56" customFormat="1" ht="15.75" customHeight="1">
      <c r="A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</row>
    <row r="562" spans="1:27" s="56" customFormat="1" ht="15.75" customHeight="1">
      <c r="A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</row>
    <row r="563" spans="1:27" s="56" customFormat="1" ht="15.75" customHeight="1">
      <c r="A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</row>
    <row r="564" spans="1:27" s="56" customFormat="1" ht="15.75" customHeight="1">
      <c r="A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</row>
    <row r="565" spans="1:27" s="56" customFormat="1" ht="15.75" customHeight="1">
      <c r="A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</row>
    <row r="566" spans="1:27" s="56" customFormat="1" ht="15.75" customHeight="1">
      <c r="A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</row>
    <row r="567" spans="1:27" s="56" customFormat="1" ht="15.75" customHeight="1">
      <c r="A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</row>
    <row r="568" spans="1:27" s="56" customFormat="1" ht="15.75" customHeight="1">
      <c r="A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</row>
    <row r="569" spans="1:27" s="56" customFormat="1" ht="15.75" customHeight="1">
      <c r="A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</row>
    <row r="570" spans="1:27" s="56" customFormat="1" ht="15.75" customHeight="1">
      <c r="A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</row>
    <row r="571" spans="1:27" s="56" customFormat="1" ht="15.75" customHeight="1">
      <c r="A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</row>
    <row r="572" spans="1:27" s="56" customFormat="1" ht="15.75" customHeight="1">
      <c r="A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</row>
    <row r="573" spans="1:27" s="56" customFormat="1" ht="15.75" customHeight="1">
      <c r="A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</row>
    <row r="574" spans="1:27" s="56" customFormat="1" ht="15.75" customHeight="1">
      <c r="A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</row>
    <row r="575" spans="1:27" s="56" customFormat="1" ht="15.75" customHeight="1">
      <c r="A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</row>
    <row r="576" spans="1:27" s="56" customFormat="1" ht="15.75" customHeight="1">
      <c r="A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</row>
    <row r="577" spans="1:27" s="56" customFormat="1" ht="15.75" customHeight="1">
      <c r="A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</row>
    <row r="578" spans="1:27" s="56" customFormat="1" ht="15.75" customHeight="1">
      <c r="A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</row>
    <row r="579" spans="1:27" s="56" customFormat="1" ht="15.75" customHeight="1">
      <c r="A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</row>
    <row r="580" spans="1:27" s="56" customFormat="1" ht="15.75" customHeight="1">
      <c r="A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</row>
    <row r="581" spans="1:27" s="56" customFormat="1" ht="15.75" customHeight="1">
      <c r="A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</row>
    <row r="582" spans="1:27" s="56" customFormat="1" ht="15.75" customHeight="1">
      <c r="A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</row>
    <row r="583" spans="1:27" s="56" customFormat="1" ht="15.75" customHeight="1">
      <c r="A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</row>
    <row r="584" spans="1:27" s="56" customFormat="1" ht="15.75" customHeight="1">
      <c r="A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</row>
    <row r="585" spans="1:27" s="56" customFormat="1" ht="15.75" customHeight="1">
      <c r="A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</row>
    <row r="586" spans="1:27" s="56" customFormat="1" ht="15.75" customHeight="1">
      <c r="A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</row>
    <row r="587" spans="1:27" s="56" customFormat="1" ht="15.75" customHeight="1">
      <c r="A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</row>
    <row r="588" spans="1:27" s="56" customFormat="1" ht="15.75" customHeight="1">
      <c r="A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</row>
    <row r="589" spans="1:27" s="56" customFormat="1" ht="15.75" customHeight="1">
      <c r="A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</row>
    <row r="590" spans="1:27" s="56" customFormat="1" ht="15.75" customHeight="1">
      <c r="A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</row>
    <row r="591" spans="1:27" s="56" customFormat="1" ht="15.75" customHeight="1">
      <c r="A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</row>
    <row r="592" spans="1:27" s="56" customFormat="1" ht="15.75" customHeight="1">
      <c r="A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</row>
    <row r="593" spans="1:27" s="56" customFormat="1" ht="15.75" customHeight="1">
      <c r="A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</row>
    <row r="594" spans="1:27" s="56" customFormat="1" ht="15.75" customHeight="1">
      <c r="A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</row>
    <row r="595" spans="1:27" s="56" customFormat="1" ht="15.75" customHeight="1">
      <c r="A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</row>
    <row r="596" spans="1:27" s="56" customFormat="1" ht="15.75" customHeight="1">
      <c r="A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</row>
    <row r="597" spans="1:27" s="56" customFormat="1" ht="15.75" customHeight="1">
      <c r="A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</row>
    <row r="598" spans="1:27" s="56" customFormat="1" ht="15.75" customHeight="1">
      <c r="A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</row>
    <row r="599" spans="1:27" s="56" customFormat="1" ht="15.75" customHeight="1">
      <c r="A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</row>
    <row r="600" spans="1:27" s="56" customFormat="1" ht="15.75" customHeight="1">
      <c r="A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</row>
    <row r="601" spans="1:27" s="56" customFormat="1" ht="15.75" customHeight="1">
      <c r="A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</row>
    <row r="602" spans="1:27" s="56" customFormat="1" ht="15.75" customHeight="1">
      <c r="A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</row>
    <row r="603" spans="1:27" s="56" customFormat="1" ht="15.75" customHeight="1">
      <c r="A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</row>
    <row r="604" spans="1:27" s="56" customFormat="1" ht="15.75" customHeight="1">
      <c r="A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</row>
    <row r="605" spans="1:27" s="56" customFormat="1" ht="15.75" customHeight="1">
      <c r="A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</row>
    <row r="606" spans="1:27" s="56" customFormat="1" ht="15.75" customHeight="1">
      <c r="A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</row>
    <row r="607" spans="1:27" s="56" customFormat="1" ht="15.75" customHeight="1">
      <c r="A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</row>
    <row r="608" spans="1:27" s="56" customFormat="1" ht="15.75" customHeight="1">
      <c r="A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</row>
    <row r="609" spans="1:27" s="56" customFormat="1" ht="15.75" customHeight="1">
      <c r="A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</row>
    <row r="610" spans="1:27" s="56" customFormat="1" ht="15.75" customHeight="1">
      <c r="A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</row>
    <row r="611" spans="1:27" s="56" customFormat="1" ht="15.75" customHeight="1">
      <c r="A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</row>
    <row r="612" spans="1:27" s="56" customFormat="1" ht="15.75" customHeight="1">
      <c r="A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</row>
    <row r="613" spans="1:27" s="56" customFormat="1" ht="15.75" customHeight="1">
      <c r="A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</row>
    <row r="614" spans="1:27" s="56" customFormat="1" ht="15.75" customHeight="1">
      <c r="A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</row>
    <row r="615" spans="1:27" s="56" customFormat="1" ht="15.75" customHeight="1">
      <c r="A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</row>
    <row r="616" spans="1:27" s="56" customFormat="1" ht="15.75" customHeight="1">
      <c r="A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</row>
    <row r="617" spans="1:27" s="56" customFormat="1" ht="15.75" customHeight="1">
      <c r="A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</row>
    <row r="618" spans="1:27" s="56" customFormat="1" ht="15.75" customHeight="1">
      <c r="A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</row>
    <row r="619" spans="1:27" s="56" customFormat="1" ht="15.75" customHeight="1">
      <c r="A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</row>
    <row r="620" spans="1:27" s="56" customFormat="1" ht="15.75" customHeight="1">
      <c r="A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</row>
    <row r="621" spans="1:27" s="56" customFormat="1" ht="15.75" customHeight="1">
      <c r="A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</row>
    <row r="622" spans="1:27" s="56" customFormat="1" ht="15.75" customHeight="1">
      <c r="A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</row>
    <row r="623" spans="1:27" s="56" customFormat="1" ht="15.75" customHeight="1">
      <c r="A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</row>
    <row r="624" spans="1:27" s="56" customFormat="1" ht="15.75" customHeight="1">
      <c r="A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</row>
    <row r="625" spans="1:27" s="56" customFormat="1" ht="15.75" customHeight="1">
      <c r="A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</row>
    <row r="626" spans="1:27" s="56" customFormat="1" ht="15.75" customHeight="1">
      <c r="A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</row>
    <row r="627" spans="1:27" s="56" customFormat="1" ht="15.75" customHeight="1">
      <c r="A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</row>
    <row r="628" spans="1:27" s="56" customFormat="1" ht="15.75" customHeight="1">
      <c r="A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</row>
    <row r="629" spans="1:27" s="56" customFormat="1" ht="15.75" customHeight="1">
      <c r="A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</row>
    <row r="630" spans="1:27" s="56" customFormat="1" ht="15.75" customHeight="1">
      <c r="A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</row>
    <row r="631" spans="1:27" s="56" customFormat="1" ht="15.75" customHeight="1">
      <c r="A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</row>
    <row r="632" spans="1:27" s="56" customFormat="1" ht="15.75" customHeight="1">
      <c r="A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</row>
    <row r="633" spans="1:27" s="56" customFormat="1" ht="15.75" customHeight="1">
      <c r="A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</row>
    <row r="634" spans="1:27" s="56" customFormat="1" ht="15.75" customHeight="1">
      <c r="A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</row>
    <row r="635" spans="1:27" s="56" customFormat="1" ht="15.75" customHeight="1">
      <c r="A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</row>
    <row r="636" spans="1:27" s="56" customFormat="1" ht="15.75" customHeight="1">
      <c r="A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</row>
    <row r="637" spans="1:27" s="56" customFormat="1" ht="15.75" customHeight="1">
      <c r="A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</row>
    <row r="638" spans="1:27" s="56" customFormat="1" ht="15.75" customHeight="1">
      <c r="A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</row>
    <row r="639" spans="1:27" s="56" customFormat="1" ht="15.75" customHeight="1">
      <c r="A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</row>
    <row r="640" spans="1:27" s="56" customFormat="1" ht="15.75" customHeight="1">
      <c r="A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</row>
    <row r="641" spans="1:27" s="56" customFormat="1" ht="15.75" customHeight="1">
      <c r="A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</row>
    <row r="642" spans="1:27" s="56" customFormat="1" ht="15.75" customHeight="1">
      <c r="A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</row>
    <row r="643" spans="1:27" s="56" customFormat="1" ht="15.75" customHeight="1">
      <c r="A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</row>
    <row r="644" spans="1:27" s="56" customFormat="1" ht="15.75" customHeight="1">
      <c r="A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</row>
    <row r="645" spans="1:27" s="56" customFormat="1" ht="15.75" customHeight="1">
      <c r="A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</row>
    <row r="646" spans="1:27" s="56" customFormat="1" ht="15.75" customHeight="1">
      <c r="A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</row>
    <row r="647" spans="1:27" s="56" customFormat="1" ht="15.75" customHeight="1">
      <c r="A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</row>
    <row r="648" spans="1:27" s="56" customFormat="1" ht="15.75" customHeight="1">
      <c r="A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</row>
    <row r="649" spans="1:27" s="56" customFormat="1" ht="15.75" customHeight="1">
      <c r="A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</row>
    <row r="650" spans="1:27" s="56" customFormat="1" ht="15.75" customHeight="1">
      <c r="A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</row>
    <row r="651" spans="1:27" s="56" customFormat="1" ht="15.75" customHeight="1">
      <c r="A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</row>
    <row r="652" spans="1:27" s="56" customFormat="1" ht="15.75" customHeight="1">
      <c r="A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</row>
    <row r="653" spans="1:27" s="56" customFormat="1" ht="15.75" customHeight="1">
      <c r="A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</row>
    <row r="654" spans="1:27" s="56" customFormat="1" ht="15.75" customHeight="1">
      <c r="A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</row>
    <row r="655" spans="1:27" s="56" customFormat="1" ht="15.75" customHeight="1">
      <c r="A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</row>
    <row r="656" spans="1:27" s="56" customFormat="1" ht="15.75" customHeight="1">
      <c r="A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</row>
    <row r="657" spans="1:27" s="56" customFormat="1" ht="15.75" customHeight="1">
      <c r="A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</row>
    <row r="658" spans="1:27" s="56" customFormat="1" ht="15.75" customHeight="1">
      <c r="A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</row>
    <row r="659" spans="1:27" s="56" customFormat="1" ht="15.75" customHeight="1">
      <c r="A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</row>
    <row r="660" spans="1:27" s="56" customFormat="1" ht="15.75" customHeight="1">
      <c r="A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</row>
    <row r="661" spans="1:27" s="56" customFormat="1" ht="15.75" customHeight="1">
      <c r="A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</row>
    <row r="662" spans="1:27" s="56" customFormat="1" ht="15.75" customHeight="1">
      <c r="A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</row>
    <row r="663" spans="1:27" s="56" customFormat="1" ht="15.75" customHeight="1">
      <c r="A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</row>
    <row r="664" spans="1:27" s="56" customFormat="1" ht="15.75" customHeight="1">
      <c r="A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</row>
    <row r="665" spans="1:27" s="56" customFormat="1" ht="15.75" customHeight="1">
      <c r="A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</row>
    <row r="666" spans="1:27" s="56" customFormat="1" ht="15.75" customHeight="1">
      <c r="A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</row>
    <row r="667" spans="1:27" s="56" customFormat="1" ht="15.75" customHeight="1">
      <c r="A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</row>
    <row r="668" spans="1:27" s="56" customFormat="1" ht="15.75" customHeight="1">
      <c r="A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</row>
    <row r="669" spans="1:27" s="56" customFormat="1" ht="15.75" customHeight="1">
      <c r="A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</row>
    <row r="670" spans="1:27" s="56" customFormat="1" ht="15.75" customHeight="1">
      <c r="A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</row>
    <row r="671" spans="1:27" s="56" customFormat="1" ht="15.75" customHeight="1">
      <c r="A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</row>
    <row r="672" spans="1:27" s="56" customFormat="1" ht="15.75" customHeight="1">
      <c r="A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</row>
    <row r="673" spans="1:27" s="56" customFormat="1" ht="15.75" customHeight="1">
      <c r="A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</row>
    <row r="674" spans="1:27" s="56" customFormat="1" ht="15.75" customHeight="1">
      <c r="A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</row>
    <row r="675" spans="1:27" s="56" customFormat="1" ht="15.75" customHeight="1">
      <c r="A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</row>
    <row r="676" spans="1:27" s="56" customFormat="1" ht="15.75" customHeight="1">
      <c r="A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</row>
    <row r="677" spans="1:27" s="56" customFormat="1" ht="15.75" customHeight="1">
      <c r="A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</row>
    <row r="678" spans="1:27" s="56" customFormat="1" ht="15.75" customHeight="1">
      <c r="A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</row>
    <row r="679" spans="1:27" s="56" customFormat="1" ht="15.75" customHeight="1">
      <c r="A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</row>
    <row r="680" spans="1:27" s="56" customFormat="1" ht="15.75" customHeight="1">
      <c r="A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</row>
    <row r="681" spans="1:27" s="56" customFormat="1" ht="15.75" customHeight="1">
      <c r="A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</row>
    <row r="682" spans="1:27" s="56" customFormat="1" ht="15.75" customHeight="1">
      <c r="A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</row>
    <row r="683" spans="1:27" s="56" customFormat="1" ht="15.75" customHeight="1">
      <c r="A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</row>
    <row r="684" spans="1:27" s="56" customFormat="1" ht="15.75" customHeight="1">
      <c r="A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</row>
    <row r="685" spans="1:27" s="56" customFormat="1" ht="15.75" customHeight="1">
      <c r="A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</row>
    <row r="686" spans="1:27" s="56" customFormat="1" ht="15.75" customHeight="1">
      <c r="A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</row>
    <row r="687" spans="1:27" s="56" customFormat="1" ht="15.75" customHeight="1">
      <c r="A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</row>
    <row r="688" spans="1:27" s="56" customFormat="1" ht="15.75" customHeight="1">
      <c r="A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</row>
    <row r="689" spans="1:27" s="56" customFormat="1" ht="15.75" customHeight="1">
      <c r="A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</row>
    <row r="690" spans="1:27" s="56" customFormat="1" ht="15.75" customHeight="1">
      <c r="A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</row>
    <row r="691" spans="1:27" s="56" customFormat="1" ht="15.75" customHeight="1">
      <c r="A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</row>
    <row r="692" spans="1:27" s="56" customFormat="1" ht="15.75" customHeight="1">
      <c r="A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</row>
    <row r="693" spans="1:27" s="56" customFormat="1" ht="15.75" customHeight="1">
      <c r="A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</row>
    <row r="694" spans="1:27" s="56" customFormat="1" ht="15.75" customHeight="1">
      <c r="A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</row>
    <row r="695" spans="1:27" s="56" customFormat="1" ht="15.75" customHeight="1">
      <c r="A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</row>
    <row r="696" spans="1:27" s="56" customFormat="1" ht="15.75" customHeight="1">
      <c r="A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</row>
    <row r="697" spans="1:27" s="56" customFormat="1" ht="15.75" customHeight="1">
      <c r="A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</row>
    <row r="698" spans="1:27" s="56" customFormat="1" ht="15.75" customHeight="1">
      <c r="A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</row>
    <row r="699" spans="1:27" s="56" customFormat="1" ht="15.75" customHeight="1">
      <c r="A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</row>
    <row r="700" spans="1:27" s="56" customFormat="1" ht="15.75" customHeight="1">
      <c r="A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</row>
    <row r="701" spans="1:27" s="56" customFormat="1" ht="15.75" customHeight="1">
      <c r="A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</row>
    <row r="702" spans="1:27" s="56" customFormat="1" ht="15.75" customHeight="1">
      <c r="A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</row>
    <row r="703" spans="1:27" s="56" customFormat="1" ht="15.75" customHeight="1">
      <c r="A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</row>
    <row r="704" spans="1:27" s="56" customFormat="1" ht="15.75" customHeight="1">
      <c r="A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</row>
    <row r="705" spans="1:27" s="56" customFormat="1" ht="15.75" customHeight="1">
      <c r="A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</row>
    <row r="706" spans="1:27" s="56" customFormat="1" ht="15.75" customHeight="1">
      <c r="A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</row>
    <row r="707" spans="1:27" s="56" customFormat="1" ht="15.75" customHeight="1">
      <c r="A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</row>
    <row r="708" spans="1:27" s="56" customFormat="1" ht="15.75" customHeight="1">
      <c r="A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</row>
    <row r="709" spans="1:27" s="56" customFormat="1" ht="15.75" customHeight="1">
      <c r="A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</row>
    <row r="710" spans="1:27" s="56" customFormat="1" ht="15.75" customHeight="1">
      <c r="A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</row>
    <row r="711" spans="1:27" s="56" customFormat="1" ht="15.75" customHeight="1">
      <c r="A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</row>
    <row r="712" spans="1:27" s="56" customFormat="1" ht="15.75" customHeight="1">
      <c r="A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</row>
    <row r="713" spans="1:27" s="56" customFormat="1" ht="15.75" customHeight="1">
      <c r="A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</row>
    <row r="714" spans="1:27" s="56" customFormat="1" ht="15.75" customHeight="1">
      <c r="A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</row>
    <row r="715" spans="1:27" s="56" customFormat="1" ht="15.75" customHeight="1">
      <c r="A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</row>
    <row r="716" spans="1:27" s="56" customFormat="1" ht="15.75" customHeight="1">
      <c r="A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</row>
    <row r="717" spans="1:27" s="56" customFormat="1" ht="15.75" customHeight="1">
      <c r="A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</row>
    <row r="718" spans="1:27" s="56" customFormat="1" ht="15.75" customHeight="1">
      <c r="A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</row>
    <row r="719" spans="1:27" s="56" customFormat="1" ht="15.75" customHeight="1">
      <c r="A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</row>
    <row r="720" spans="1:27" s="56" customFormat="1" ht="15.75" customHeight="1">
      <c r="A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</row>
    <row r="721" spans="1:27" s="56" customFormat="1" ht="15.75" customHeight="1">
      <c r="A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</row>
    <row r="722" spans="1:27" s="56" customFormat="1" ht="15.75" customHeight="1">
      <c r="A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</row>
    <row r="723" spans="1:27" s="56" customFormat="1" ht="15.75" customHeight="1">
      <c r="A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</row>
    <row r="724" spans="1:27" s="56" customFormat="1" ht="15.75" customHeight="1">
      <c r="A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</row>
    <row r="725" spans="1:27" s="56" customFormat="1" ht="15.75" customHeight="1">
      <c r="A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</row>
    <row r="726" spans="1:27" s="56" customFormat="1" ht="15.75" customHeight="1">
      <c r="A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</row>
    <row r="727" spans="1:27" s="56" customFormat="1" ht="15.75" customHeight="1">
      <c r="A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</row>
    <row r="728" spans="1:27" s="56" customFormat="1" ht="15.75" customHeight="1">
      <c r="A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</row>
    <row r="729" spans="1:27" s="56" customFormat="1" ht="15.75" customHeight="1">
      <c r="A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</row>
    <row r="730" spans="1:27" s="56" customFormat="1" ht="15.75" customHeight="1">
      <c r="A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</row>
    <row r="731" spans="1:27" s="56" customFormat="1" ht="15.75" customHeight="1">
      <c r="A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</row>
    <row r="732" spans="1:27" s="56" customFormat="1" ht="15.75" customHeight="1">
      <c r="A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</row>
    <row r="733" spans="1:27" s="56" customFormat="1" ht="15.75" customHeight="1">
      <c r="A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</row>
    <row r="734" spans="1:27" s="56" customFormat="1" ht="15.75" customHeight="1">
      <c r="A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</row>
    <row r="735" spans="1:27" s="56" customFormat="1" ht="15.75" customHeight="1">
      <c r="A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</row>
    <row r="736" spans="1:27" s="56" customFormat="1" ht="15.75" customHeight="1">
      <c r="A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</row>
    <row r="737" spans="1:27" s="56" customFormat="1" ht="15.75" customHeight="1">
      <c r="A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</row>
    <row r="738" spans="1:27" s="56" customFormat="1" ht="15.75" customHeight="1">
      <c r="A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</row>
    <row r="739" spans="1:27" s="56" customFormat="1" ht="15.75" customHeight="1">
      <c r="A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</row>
    <row r="740" spans="1:27" s="56" customFormat="1" ht="15.75" customHeight="1">
      <c r="A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</row>
    <row r="741" spans="1:27" s="56" customFormat="1" ht="15.75" customHeight="1">
      <c r="A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</row>
    <row r="742" spans="1:27" s="56" customFormat="1" ht="15.75" customHeight="1">
      <c r="A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</row>
    <row r="743" spans="1:27" s="56" customFormat="1" ht="15.75" customHeight="1">
      <c r="A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</row>
    <row r="744" spans="1:27" s="56" customFormat="1" ht="15.75" customHeight="1">
      <c r="A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</row>
    <row r="745" spans="1:27" s="56" customFormat="1" ht="15.75" customHeight="1">
      <c r="A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</row>
    <row r="746" spans="1:27" s="56" customFormat="1" ht="15.75" customHeight="1">
      <c r="A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</row>
    <row r="747" spans="1:27" s="56" customFormat="1" ht="15.75" customHeight="1">
      <c r="A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</row>
    <row r="748" spans="1:27" s="56" customFormat="1" ht="15.75" customHeight="1">
      <c r="A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</row>
    <row r="749" spans="1:27" s="56" customFormat="1" ht="15.75" customHeight="1">
      <c r="A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</row>
    <row r="750" spans="1:27" s="56" customFormat="1" ht="15.75" customHeight="1">
      <c r="A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</row>
    <row r="751" spans="1:27" s="56" customFormat="1" ht="15.75" customHeight="1">
      <c r="A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</row>
    <row r="752" spans="1:27" s="56" customFormat="1" ht="15.75" customHeight="1">
      <c r="A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</row>
    <row r="753" spans="1:27" s="56" customFormat="1" ht="15.75" customHeight="1">
      <c r="A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</row>
    <row r="754" spans="1:27" s="56" customFormat="1" ht="15.75" customHeight="1">
      <c r="A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</row>
    <row r="755" spans="1:27" s="56" customFormat="1" ht="15.75" customHeight="1">
      <c r="A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</row>
    <row r="756" spans="1:27" s="56" customFormat="1" ht="15.75" customHeight="1">
      <c r="A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</row>
    <row r="757" spans="1:27" s="56" customFormat="1" ht="15.75" customHeight="1">
      <c r="A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</row>
    <row r="758" spans="1:27" s="56" customFormat="1" ht="15.75" customHeight="1">
      <c r="A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</row>
    <row r="759" spans="1:27" s="56" customFormat="1" ht="15.75" customHeight="1">
      <c r="A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</row>
    <row r="760" spans="1:27" s="56" customFormat="1" ht="15.75" customHeight="1">
      <c r="A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</row>
    <row r="761" spans="1:27" s="56" customFormat="1" ht="15.75" customHeight="1">
      <c r="A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</row>
    <row r="762" spans="1:27" s="56" customFormat="1" ht="15.75" customHeight="1">
      <c r="A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</row>
    <row r="763" spans="1:27" s="56" customFormat="1" ht="15.75" customHeight="1">
      <c r="A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</row>
    <row r="764" spans="1:27" s="56" customFormat="1" ht="15.75" customHeight="1">
      <c r="A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</row>
    <row r="765" spans="1:27" s="56" customFormat="1" ht="15.75" customHeight="1">
      <c r="A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</row>
    <row r="766" spans="1:27" s="56" customFormat="1" ht="15.75" customHeight="1">
      <c r="A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</row>
    <row r="767" spans="1:27" s="56" customFormat="1" ht="15.75" customHeight="1">
      <c r="A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</row>
    <row r="768" spans="1:27" s="56" customFormat="1" ht="15.75" customHeight="1">
      <c r="A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</row>
    <row r="769" spans="1:27" s="56" customFormat="1" ht="15.75" customHeight="1">
      <c r="A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</row>
    <row r="770" spans="1:27" s="56" customFormat="1" ht="15.75" customHeight="1">
      <c r="A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</row>
    <row r="771" spans="1:27" s="56" customFormat="1" ht="15.75" customHeight="1">
      <c r="A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</row>
    <row r="772" spans="1:27" s="56" customFormat="1" ht="15.75" customHeight="1">
      <c r="A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</row>
    <row r="773" spans="1:27" s="56" customFormat="1" ht="15.75" customHeight="1">
      <c r="A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</row>
    <row r="774" spans="1:27" s="56" customFormat="1" ht="15.75" customHeight="1">
      <c r="A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</row>
    <row r="775" spans="1:27" s="56" customFormat="1" ht="15.75" customHeight="1">
      <c r="A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</row>
    <row r="776" spans="1:27" s="56" customFormat="1" ht="15.75" customHeight="1">
      <c r="A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</row>
    <row r="777" spans="1:27" s="56" customFormat="1" ht="15.75" customHeight="1">
      <c r="A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</row>
    <row r="778" spans="1:27" s="56" customFormat="1" ht="15.75" customHeight="1">
      <c r="A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</row>
    <row r="779" spans="1:27" s="56" customFormat="1" ht="15.75" customHeight="1">
      <c r="A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</row>
    <row r="780" spans="1:27" s="56" customFormat="1" ht="15.75" customHeight="1">
      <c r="A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</row>
    <row r="781" spans="1:27" s="56" customFormat="1" ht="15.75" customHeight="1">
      <c r="A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</row>
    <row r="782" spans="1:27" s="56" customFormat="1" ht="15.75" customHeight="1">
      <c r="A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</row>
    <row r="783" spans="1:27" s="56" customFormat="1" ht="15.75" customHeight="1">
      <c r="A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</row>
    <row r="784" spans="1:27" s="56" customFormat="1" ht="15.75" customHeight="1">
      <c r="A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</row>
    <row r="785" spans="1:27" s="56" customFormat="1" ht="15.75" customHeight="1">
      <c r="A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</row>
    <row r="786" spans="1:27" s="56" customFormat="1" ht="15.75" customHeight="1">
      <c r="A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</row>
    <row r="787" spans="1:27" s="56" customFormat="1" ht="15.75" customHeight="1">
      <c r="A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</row>
    <row r="788" spans="1:27" s="56" customFormat="1" ht="15.75" customHeight="1">
      <c r="A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</row>
    <row r="789" spans="1:27" s="56" customFormat="1" ht="15.75" customHeight="1">
      <c r="A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</row>
    <row r="790" spans="1:27" s="56" customFormat="1" ht="15.75" customHeight="1">
      <c r="A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</row>
    <row r="791" spans="1:27" s="56" customFormat="1" ht="15.75" customHeight="1">
      <c r="A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</row>
    <row r="792" spans="1:27" s="56" customFormat="1" ht="15.75" customHeight="1">
      <c r="A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</row>
    <row r="793" spans="1:27" s="56" customFormat="1" ht="15.75" customHeight="1">
      <c r="A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</row>
    <row r="794" spans="1:27" s="56" customFormat="1" ht="15.75" customHeight="1">
      <c r="A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</row>
    <row r="795" spans="1:27" s="56" customFormat="1" ht="15.75" customHeight="1">
      <c r="A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</row>
    <row r="796" spans="1:27" s="56" customFormat="1" ht="15.75" customHeight="1">
      <c r="A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</row>
    <row r="797" spans="1:27" s="56" customFormat="1" ht="15.75" customHeight="1">
      <c r="A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</row>
    <row r="798" spans="1:27" s="56" customFormat="1" ht="15.75" customHeight="1">
      <c r="A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</row>
    <row r="799" spans="1:27" s="56" customFormat="1" ht="15.75" customHeight="1">
      <c r="A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</row>
    <row r="800" spans="1:27" s="56" customFormat="1" ht="15.75" customHeight="1">
      <c r="A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</row>
    <row r="801" spans="1:27" s="56" customFormat="1" ht="15.75" customHeight="1">
      <c r="A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</row>
    <row r="802" spans="1:27" s="56" customFormat="1" ht="15.75" customHeight="1">
      <c r="A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</row>
    <row r="803" spans="1:27" s="56" customFormat="1" ht="15.75" customHeight="1">
      <c r="A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</row>
    <row r="804" spans="1:27" s="56" customFormat="1" ht="15.75" customHeight="1">
      <c r="A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</row>
    <row r="805" spans="1:27" s="56" customFormat="1" ht="15.75" customHeight="1">
      <c r="A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</row>
    <row r="806" spans="1:27" s="56" customFormat="1" ht="15.75" customHeight="1">
      <c r="A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</row>
    <row r="807" spans="1:27" s="56" customFormat="1" ht="15.75" customHeight="1">
      <c r="A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</row>
    <row r="808" spans="1:27" s="56" customFormat="1" ht="15.75" customHeight="1">
      <c r="A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</row>
    <row r="809" spans="1:27" s="56" customFormat="1" ht="15.75" customHeight="1">
      <c r="A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</row>
    <row r="810" spans="1:27" s="56" customFormat="1" ht="15.75" customHeight="1">
      <c r="A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</row>
    <row r="811" spans="1:27" s="56" customFormat="1" ht="15.75" customHeight="1">
      <c r="A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</row>
    <row r="812" spans="1:27" s="56" customFormat="1" ht="15.75" customHeight="1">
      <c r="A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</row>
    <row r="813" spans="1:27" s="56" customFormat="1" ht="15.75" customHeight="1">
      <c r="A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</row>
    <row r="814" spans="1:27" s="56" customFormat="1" ht="15.75" customHeight="1">
      <c r="A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</row>
    <row r="815" spans="1:27" s="56" customFormat="1" ht="15.75" customHeight="1">
      <c r="A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</row>
    <row r="816" spans="1:27" s="56" customFormat="1" ht="15.75" customHeight="1">
      <c r="A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</row>
    <row r="817" spans="1:27" s="56" customFormat="1" ht="15.75" customHeight="1">
      <c r="A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</row>
    <row r="818" spans="1:27" s="56" customFormat="1" ht="15.75" customHeight="1">
      <c r="A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</row>
    <row r="819" spans="1:27" s="56" customFormat="1" ht="15.75" customHeight="1">
      <c r="A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</row>
    <row r="820" spans="1:27" s="56" customFormat="1" ht="15.75" customHeight="1">
      <c r="A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</row>
    <row r="821" spans="1:27" s="56" customFormat="1" ht="15.75" customHeight="1">
      <c r="A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</row>
    <row r="822" spans="1:27" s="56" customFormat="1" ht="15.75" customHeight="1">
      <c r="A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</row>
    <row r="823" spans="1:27" s="56" customFormat="1" ht="15.75" customHeight="1">
      <c r="A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</row>
    <row r="824" spans="1:27" s="56" customFormat="1" ht="15.75" customHeight="1">
      <c r="A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</row>
    <row r="825" spans="1:27" s="56" customFormat="1" ht="15.75" customHeight="1">
      <c r="A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</row>
    <row r="826" spans="1:27" s="56" customFormat="1" ht="15.75" customHeight="1">
      <c r="A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</row>
    <row r="827" spans="1:27" s="56" customFormat="1" ht="15.75" customHeight="1">
      <c r="A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</row>
    <row r="828" spans="1:27" s="56" customFormat="1" ht="15.75" customHeight="1">
      <c r="A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</row>
    <row r="829" spans="1:27" s="56" customFormat="1" ht="15.75" customHeight="1">
      <c r="A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</row>
    <row r="830" spans="1:27" s="56" customFormat="1" ht="15.75" customHeight="1">
      <c r="A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</row>
    <row r="831" spans="1:27" s="56" customFormat="1" ht="15.75" customHeight="1">
      <c r="A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</row>
    <row r="832" spans="1:27" s="56" customFormat="1" ht="15.75" customHeight="1">
      <c r="A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</row>
    <row r="833" spans="1:27" s="56" customFormat="1" ht="15.75" customHeight="1">
      <c r="A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</row>
    <row r="834" spans="1:27" s="56" customFormat="1" ht="15.75" customHeight="1">
      <c r="A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</row>
    <row r="835" spans="1:27" s="56" customFormat="1" ht="15.75" customHeight="1">
      <c r="A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</row>
    <row r="836" spans="1:27" s="56" customFormat="1" ht="15.75" customHeight="1">
      <c r="A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</row>
    <row r="837" spans="1:27" s="56" customFormat="1" ht="15.75" customHeight="1">
      <c r="A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</row>
    <row r="838" spans="1:27" s="56" customFormat="1" ht="15.75" customHeight="1">
      <c r="A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</row>
    <row r="839" spans="1:27" s="56" customFormat="1" ht="15.75" customHeight="1">
      <c r="A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</row>
    <row r="840" spans="1:27" s="56" customFormat="1" ht="15.75" customHeight="1">
      <c r="A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</row>
    <row r="841" spans="1:27" s="56" customFormat="1" ht="15.75" customHeight="1">
      <c r="A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</row>
    <row r="842" spans="1:27" s="56" customFormat="1" ht="15.75" customHeight="1">
      <c r="A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</row>
    <row r="843" spans="1:27" s="56" customFormat="1" ht="15.75" customHeight="1">
      <c r="A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</row>
    <row r="844" spans="1:27" s="56" customFormat="1" ht="15.75" customHeight="1">
      <c r="A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</row>
    <row r="845" spans="1:27" s="56" customFormat="1" ht="15.75" customHeight="1">
      <c r="A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</row>
    <row r="846" spans="1:27" s="56" customFormat="1" ht="15.75" customHeight="1">
      <c r="A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</row>
    <row r="847" spans="1:27" s="56" customFormat="1" ht="15.75" customHeight="1">
      <c r="A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</row>
    <row r="848" spans="1:27" s="56" customFormat="1" ht="15.75" customHeight="1">
      <c r="A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</row>
    <row r="849" spans="1:27" s="56" customFormat="1" ht="15.75" customHeight="1">
      <c r="A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</row>
    <row r="850" spans="1:27" s="56" customFormat="1" ht="15.75" customHeight="1">
      <c r="A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</row>
    <row r="851" spans="1:27" s="56" customFormat="1" ht="15.75" customHeight="1">
      <c r="A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</row>
    <row r="852" spans="1:27" s="56" customFormat="1" ht="15.75" customHeight="1">
      <c r="A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</row>
    <row r="853" spans="1:27" s="56" customFormat="1" ht="15.75" customHeight="1">
      <c r="A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</row>
    <row r="854" spans="1:27" s="56" customFormat="1" ht="15.75" customHeight="1">
      <c r="A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</row>
    <row r="855" spans="1:27" s="56" customFormat="1" ht="15.75" customHeight="1">
      <c r="A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</row>
    <row r="856" spans="1:27" s="56" customFormat="1" ht="15.75" customHeight="1">
      <c r="A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</row>
    <row r="857" spans="1:27" s="56" customFormat="1" ht="15.75" customHeight="1">
      <c r="A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</row>
    <row r="858" spans="1:27" s="56" customFormat="1" ht="15.75" customHeight="1">
      <c r="A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</row>
    <row r="859" spans="1:27" s="56" customFormat="1" ht="15.75" customHeight="1">
      <c r="A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</row>
    <row r="860" spans="1:27" s="56" customFormat="1" ht="15.75" customHeight="1">
      <c r="A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</row>
    <row r="861" spans="1:27" s="56" customFormat="1" ht="15.75" customHeight="1">
      <c r="A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</row>
    <row r="862" spans="1:27" s="56" customFormat="1" ht="15.75" customHeight="1">
      <c r="A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</row>
    <row r="863" spans="1:27" s="56" customFormat="1" ht="15.75" customHeight="1">
      <c r="A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</row>
    <row r="864" spans="1:27" s="56" customFormat="1" ht="15.75" customHeight="1">
      <c r="A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</row>
    <row r="865" spans="1:27" s="56" customFormat="1" ht="15.75" customHeight="1">
      <c r="A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</row>
    <row r="866" spans="1:27" s="56" customFormat="1" ht="15.75" customHeight="1">
      <c r="A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</row>
    <row r="867" spans="1:27" s="56" customFormat="1" ht="15.75" customHeight="1">
      <c r="A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</row>
    <row r="868" spans="1:27" s="56" customFormat="1" ht="15.75" customHeight="1">
      <c r="A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</row>
    <row r="869" spans="1:27" s="56" customFormat="1" ht="15.75" customHeight="1">
      <c r="A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</row>
    <row r="870" spans="1:27" s="56" customFormat="1" ht="15.75" customHeight="1">
      <c r="A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</row>
    <row r="871" spans="1:27" s="56" customFormat="1" ht="15.75" customHeight="1">
      <c r="A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</row>
    <row r="872" spans="1:27" s="56" customFormat="1" ht="15.75" customHeight="1">
      <c r="A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</row>
    <row r="873" spans="1:27" s="56" customFormat="1" ht="15.75" customHeight="1">
      <c r="A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</row>
    <row r="874" spans="1:27" s="56" customFormat="1" ht="15.75" customHeight="1">
      <c r="A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</row>
    <row r="875" spans="1:27" s="56" customFormat="1" ht="15.75" customHeight="1">
      <c r="A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</row>
    <row r="876" spans="1:27" s="56" customFormat="1" ht="15.75" customHeight="1">
      <c r="A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</row>
    <row r="877" spans="1:27" s="56" customFormat="1" ht="15.75" customHeight="1">
      <c r="A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</row>
    <row r="878" spans="1:27" s="56" customFormat="1" ht="15.75" customHeight="1">
      <c r="A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</row>
    <row r="879" spans="1:27" s="56" customFormat="1" ht="15.75" customHeight="1">
      <c r="A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</row>
    <row r="880" spans="1:27" s="56" customFormat="1" ht="15.75" customHeight="1">
      <c r="A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</row>
    <row r="881" spans="1:27" s="56" customFormat="1" ht="15.75" customHeight="1">
      <c r="A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</row>
    <row r="882" spans="1:27" s="56" customFormat="1" ht="15.75" customHeight="1">
      <c r="A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</row>
    <row r="883" spans="1:27" s="56" customFormat="1" ht="15.75" customHeight="1">
      <c r="A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</row>
    <row r="884" spans="1:27" s="56" customFormat="1" ht="15.75" customHeight="1">
      <c r="A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</row>
    <row r="885" spans="1:27" s="56" customFormat="1" ht="15.75" customHeight="1">
      <c r="A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</row>
    <row r="886" spans="1:27" s="56" customFormat="1" ht="15.75" customHeight="1">
      <c r="A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</row>
    <row r="887" spans="1:27" s="56" customFormat="1" ht="15.75" customHeight="1">
      <c r="A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</row>
    <row r="888" spans="1:27" s="56" customFormat="1" ht="15.75" customHeight="1">
      <c r="A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</row>
    <row r="889" spans="1:27" s="56" customFormat="1" ht="15.75" customHeight="1">
      <c r="A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</row>
    <row r="890" spans="1:27" s="56" customFormat="1" ht="15.75" customHeight="1">
      <c r="A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</row>
    <row r="891" spans="1:27" s="56" customFormat="1" ht="15.75" customHeight="1">
      <c r="A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</row>
    <row r="892" spans="1:27" s="56" customFormat="1" ht="15.75" customHeight="1">
      <c r="A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</row>
    <row r="893" spans="1:27" s="56" customFormat="1" ht="15.75" customHeight="1">
      <c r="A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</row>
    <row r="894" spans="1:27" s="56" customFormat="1" ht="15.75" customHeight="1">
      <c r="A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</row>
    <row r="895" spans="1:27" s="56" customFormat="1" ht="15.75" customHeight="1">
      <c r="A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</row>
    <row r="896" spans="1:27" s="56" customFormat="1" ht="15.75" customHeight="1">
      <c r="A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</row>
    <row r="897" spans="1:27" s="56" customFormat="1" ht="15.75" customHeight="1">
      <c r="A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</row>
    <row r="898" spans="1:27" s="56" customFormat="1" ht="15.75" customHeight="1">
      <c r="A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</row>
    <row r="899" spans="1:27" s="56" customFormat="1" ht="15.75" customHeight="1">
      <c r="A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</row>
    <row r="900" spans="1:27" s="56" customFormat="1" ht="15.75" customHeight="1">
      <c r="A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</row>
    <row r="901" spans="1:27" s="56" customFormat="1" ht="15.75" customHeight="1">
      <c r="A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</row>
    <row r="902" spans="1:27" s="56" customFormat="1" ht="15.75" customHeight="1">
      <c r="A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</row>
    <row r="903" spans="1:27" s="56" customFormat="1" ht="15.75" customHeight="1">
      <c r="A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</row>
    <row r="904" spans="1:27" s="56" customFormat="1" ht="15.75" customHeight="1">
      <c r="A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</row>
    <row r="905" spans="1:27" s="56" customFormat="1" ht="15.75" customHeight="1">
      <c r="A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</row>
    <row r="906" spans="1:27" s="56" customFormat="1" ht="15.75" customHeight="1">
      <c r="A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</row>
    <row r="907" spans="1:27" s="56" customFormat="1" ht="15.75" customHeight="1">
      <c r="A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</row>
    <row r="908" spans="1:27" s="56" customFormat="1" ht="15.75" customHeight="1">
      <c r="A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</row>
    <row r="909" spans="1:27" s="56" customFormat="1" ht="15.75" customHeight="1">
      <c r="A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</row>
    <row r="910" spans="1:27" s="56" customFormat="1" ht="15.75" customHeight="1">
      <c r="A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</row>
    <row r="911" spans="1:27" s="56" customFormat="1" ht="15.75" customHeight="1">
      <c r="A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</row>
    <row r="912" spans="1:27" s="56" customFormat="1" ht="15.75" customHeight="1">
      <c r="A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</row>
    <row r="913" spans="1:27" s="56" customFormat="1" ht="15.75" customHeight="1">
      <c r="A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</row>
    <row r="914" spans="1:27" s="56" customFormat="1" ht="15.75" customHeight="1">
      <c r="A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</row>
    <row r="915" spans="1:27" s="56" customFormat="1" ht="15.75" customHeight="1">
      <c r="A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</row>
    <row r="916" spans="1:27" s="56" customFormat="1" ht="15.75" customHeight="1">
      <c r="A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</row>
    <row r="917" spans="1:27" s="56" customFormat="1" ht="15.75" customHeight="1">
      <c r="A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</row>
    <row r="918" spans="1:27" s="56" customFormat="1" ht="15.75" customHeight="1">
      <c r="A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</row>
    <row r="919" spans="1:27" s="56" customFormat="1" ht="15.75" customHeight="1">
      <c r="A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</row>
    <row r="920" spans="1:27" s="56" customFormat="1" ht="15.75" customHeight="1">
      <c r="A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</row>
    <row r="921" spans="1:27" s="56" customFormat="1" ht="15.75" customHeight="1">
      <c r="A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</row>
    <row r="922" spans="1:27" s="56" customFormat="1" ht="15.75" customHeight="1">
      <c r="A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</row>
    <row r="923" spans="1:27" s="56" customFormat="1" ht="15.75" customHeight="1">
      <c r="A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</row>
    <row r="924" spans="1:27" s="56" customFormat="1" ht="15.75" customHeight="1">
      <c r="A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</row>
    <row r="925" spans="1:27" s="56" customFormat="1" ht="15.75" customHeight="1">
      <c r="A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</row>
    <row r="926" spans="1:27" s="56" customFormat="1" ht="15.75" customHeight="1">
      <c r="A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</row>
    <row r="927" spans="1:27" s="56" customFormat="1" ht="15.75" customHeight="1">
      <c r="A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</row>
    <row r="928" spans="1:27" s="56" customFormat="1" ht="15.75" customHeight="1">
      <c r="A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</row>
    <row r="929" spans="1:27" s="56" customFormat="1" ht="15.75" customHeight="1">
      <c r="A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</row>
    <row r="930" spans="1:27" s="56" customFormat="1" ht="15.75" customHeight="1">
      <c r="A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</row>
    <row r="931" spans="1:27" s="56" customFormat="1" ht="15.75" customHeight="1">
      <c r="A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</row>
    <row r="932" spans="1:27" s="56" customFormat="1" ht="15.75" customHeight="1">
      <c r="A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</row>
    <row r="933" spans="1:27" s="56" customFormat="1" ht="15.75" customHeight="1">
      <c r="A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</row>
    <row r="934" spans="1:27" s="56" customFormat="1" ht="15.75" customHeight="1">
      <c r="A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</row>
    <row r="935" spans="1:27" s="56" customFormat="1" ht="15.75" customHeight="1">
      <c r="A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</row>
    <row r="936" spans="1:27" s="56" customFormat="1" ht="15.75" customHeight="1">
      <c r="A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</row>
    <row r="937" spans="1:27" s="56" customFormat="1" ht="15.75" customHeight="1">
      <c r="A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</row>
    <row r="938" spans="1:27" s="56" customFormat="1" ht="15.75" customHeight="1">
      <c r="A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</row>
    <row r="939" spans="1:27" s="56" customFormat="1" ht="15.75" customHeight="1">
      <c r="A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</row>
    <row r="940" spans="1:27" s="56" customFormat="1" ht="15.75" customHeight="1">
      <c r="A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</row>
    <row r="941" spans="1:27" s="56" customFormat="1" ht="15.75" customHeight="1">
      <c r="A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</row>
    <row r="942" spans="1:27" s="56" customFormat="1" ht="15.75" customHeight="1">
      <c r="A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</row>
    <row r="943" spans="1:27" s="56" customFormat="1" ht="15.75" customHeight="1">
      <c r="A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</row>
    <row r="944" spans="1:27" s="56" customFormat="1" ht="15.75" customHeight="1">
      <c r="A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</row>
    <row r="945" spans="1:27" s="56" customFormat="1" ht="15.75" customHeight="1">
      <c r="A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</row>
    <row r="946" spans="1:27" s="56" customFormat="1" ht="15.75" customHeight="1">
      <c r="A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</row>
    <row r="947" spans="1:27" s="56" customFormat="1" ht="15.75" customHeight="1">
      <c r="A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</row>
    <row r="948" spans="1:27" s="56" customFormat="1" ht="15.75" customHeight="1">
      <c r="A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</row>
    <row r="949" spans="1:27" s="56" customFormat="1" ht="15.75" customHeight="1">
      <c r="A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</row>
    <row r="950" spans="1:27" s="56" customFormat="1" ht="15.75" customHeight="1">
      <c r="A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</row>
    <row r="951" spans="1:27" s="56" customFormat="1" ht="15.75" customHeight="1">
      <c r="A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</row>
    <row r="952" spans="1:27" s="56" customFormat="1" ht="15.75" customHeight="1">
      <c r="A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</row>
    <row r="953" spans="1:27" s="56" customFormat="1" ht="15.75" customHeight="1">
      <c r="A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</row>
    <row r="954" spans="1:27" s="56" customFormat="1" ht="15.75" customHeight="1">
      <c r="A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</row>
    <row r="955" spans="1:27" s="56" customFormat="1" ht="15.75" customHeight="1">
      <c r="A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</row>
    <row r="956" spans="1:27" s="56" customFormat="1" ht="15.75" customHeight="1">
      <c r="A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</row>
    <row r="957" spans="1:27" s="56" customFormat="1" ht="15.75" customHeight="1">
      <c r="A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</row>
    <row r="958" spans="1:27" s="56" customFormat="1" ht="15.75" customHeight="1">
      <c r="A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</row>
    <row r="959" spans="1:27" s="56" customFormat="1" ht="15.75" customHeight="1">
      <c r="A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</row>
    <row r="960" spans="1:27" s="56" customFormat="1" ht="15.75" customHeight="1">
      <c r="A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</row>
    <row r="961" spans="1:27" s="56" customFormat="1" ht="15.75" customHeight="1">
      <c r="A961" s="128"/>
      <c r="C961" s="128"/>
      <c r="D961" s="127"/>
      <c r="E961" s="127"/>
      <c r="F961" s="127"/>
      <c r="G961" s="127"/>
      <c r="H961" s="127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</row>
    <row r="962" spans="1:27" s="56" customFormat="1" ht="15.75" customHeight="1">
      <c r="A962" s="128"/>
      <c r="C962" s="128"/>
      <c r="D962" s="127"/>
      <c r="E962" s="127"/>
      <c r="F962" s="127"/>
      <c r="G962" s="127"/>
      <c r="H962" s="127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</row>
    <row r="963" spans="1:27" ht="15" customHeight="1">
      <c r="A963" s="128"/>
    </row>
    <row r="964" spans="1:27" ht="15" customHeight="1">
      <c r="A964" s="128"/>
    </row>
  </sheetData>
  <mergeCells count="2">
    <mergeCell ref="A1:B1"/>
    <mergeCell ref="D1:H1"/>
  </mergeCells>
  <phoneticPr fontId="22" type="noConversion"/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7"/>
  <sheetViews>
    <sheetView workbookViewId="0">
      <selection activeCell="C11" sqref="C11"/>
    </sheetView>
  </sheetViews>
  <sheetFormatPr defaultColWidth="13.09765625" defaultRowHeight="15" customHeight="1"/>
  <cols>
    <col min="1" max="1" width="52.5" style="120" customWidth="1"/>
    <col min="2" max="2" width="21.09765625" style="120" customWidth="1"/>
    <col min="3" max="3" width="120.59765625" style="120" customWidth="1"/>
    <col min="4" max="26" width="7.59765625" style="120" customWidth="1"/>
    <col min="27" max="27" width="13.09765625" style="120" customWidth="1"/>
    <col min="28" max="16384" width="13.09765625" style="120"/>
  </cols>
  <sheetData>
    <row r="1" spans="1:26" customFormat="1" ht="14.25" customHeight="1">
      <c r="A1" s="121" t="s">
        <v>55</v>
      </c>
      <c r="B1" s="122" t="s">
        <v>56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spans="1:26" customFormat="1" ht="14.25" customHeight="1">
      <c r="A2" s="124" t="s">
        <v>57</v>
      </c>
      <c r="B2" s="124" t="s">
        <v>58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spans="1:26" customFormat="1" ht="14.25" customHeight="1">
      <c r="A3" s="124" t="s">
        <v>59</v>
      </c>
      <c r="B3" s="124" t="s">
        <v>60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spans="1:26" customFormat="1" ht="14.25" customHeight="1">
      <c r="A4" s="124" t="s">
        <v>61</v>
      </c>
      <c r="B4" s="124" t="s">
        <v>62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spans="1:26" customFormat="1" ht="14.25" customHeight="1">
      <c r="A5" s="124" t="s">
        <v>63</v>
      </c>
      <c r="B5" s="124" t="s">
        <v>64</v>
      </c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spans="1:26" customFormat="1" ht="14.25" customHeight="1">
      <c r="A6" s="124" t="s">
        <v>65</v>
      </c>
      <c r="B6" s="124" t="s">
        <v>66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spans="1:26" customFormat="1" ht="14.25" customHeight="1">
      <c r="A7" s="124" t="s">
        <v>67</v>
      </c>
      <c r="B7" s="124" t="s">
        <v>68</v>
      </c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spans="1:26" customFormat="1" ht="14.25" customHeight="1">
      <c r="A8" s="124" t="s">
        <v>69</v>
      </c>
      <c r="B8" s="124" t="s">
        <v>70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customFormat="1" ht="14.25" customHeight="1">
      <c r="A9" s="124" t="s">
        <v>71</v>
      </c>
      <c r="B9" s="124" t="s">
        <v>72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spans="1:26" customFormat="1" ht="14.25" customHeight="1">
      <c r="A10" s="124" t="s">
        <v>73</v>
      </c>
      <c r="B10" s="124" t="s">
        <v>74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spans="1:26" customFormat="1" ht="14.25" customHeight="1">
      <c r="A11" s="124" t="s">
        <v>75</v>
      </c>
      <c r="B11" s="124" t="s">
        <v>76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spans="1:26" customFormat="1" ht="14.25" hidden="1" customHeight="1">
      <c r="A12" s="124" t="s">
        <v>77</v>
      </c>
      <c r="B12" s="124" t="s">
        <v>78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spans="1:26" customFormat="1" ht="14.25" hidden="1" customHeight="1">
      <c r="A13" s="124" t="s">
        <v>79</v>
      </c>
      <c r="B13" s="124" t="s">
        <v>78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spans="1:26" customFormat="1" ht="14.25" hidden="1" customHeight="1">
      <c r="A14" s="124" t="s">
        <v>80</v>
      </c>
      <c r="B14" s="124" t="s">
        <v>78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spans="1:26" customFormat="1" ht="14.25" hidden="1" customHeight="1">
      <c r="A15" s="124" t="s">
        <v>19</v>
      </c>
      <c r="B15" s="124" t="s">
        <v>78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spans="1:26" customFormat="1" ht="14.25" hidden="1" customHeight="1">
      <c r="A16" s="124" t="s">
        <v>12</v>
      </c>
      <c r="B16" s="124" t="s">
        <v>78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6" customFormat="1" ht="14.25" hidden="1" customHeight="1">
      <c r="A17" s="124" t="s">
        <v>81</v>
      </c>
      <c r="B17" s="124" t="s">
        <v>78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spans="1:26" customFormat="1" ht="14.25" hidden="1" customHeight="1">
      <c r="A18" s="124" t="s">
        <v>82</v>
      </c>
      <c r="B18" s="124" t="s">
        <v>78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spans="1:26" customFormat="1" ht="14.25" hidden="1" customHeight="1">
      <c r="A19" s="124" t="s">
        <v>83</v>
      </c>
      <c r="B19" s="124" t="s">
        <v>78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spans="1:26" customFormat="1" ht="14.25" hidden="1" customHeight="1">
      <c r="A20" s="124" t="s">
        <v>84</v>
      </c>
      <c r="B20" s="124" t="s">
        <v>78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spans="1:26" customFormat="1" ht="14.25" customHeight="1">
      <c r="A21" s="124" t="s">
        <v>85</v>
      </c>
      <c r="B21" s="124" t="s">
        <v>86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spans="1:26" customFormat="1" ht="14.25" customHeight="1">
      <c r="A22" s="124" t="s">
        <v>87</v>
      </c>
      <c r="B22" s="124" t="s">
        <v>88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spans="1:26" customFormat="1" ht="14.25" customHeight="1">
      <c r="A23" s="124" t="s">
        <v>89</v>
      </c>
      <c r="B23" s="124" t="s">
        <v>90</v>
      </c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spans="1:26" customFormat="1" ht="14.25" customHeight="1">
      <c r="A24" s="124" t="s">
        <v>91</v>
      </c>
      <c r="B24" s="124" t="s">
        <v>90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6" customFormat="1" ht="14.25" customHeight="1">
      <c r="A25" s="124" t="s">
        <v>92</v>
      </c>
      <c r="B25" s="124" t="s">
        <v>93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customFormat="1" ht="14.25" customHeight="1">
      <c r="A26" s="124" t="s">
        <v>94</v>
      </c>
      <c r="B26" s="124" t="s">
        <v>93</v>
      </c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spans="1:26" customFormat="1" ht="14.25" customHeight="1">
      <c r="A27" s="124" t="s">
        <v>95</v>
      </c>
      <c r="B27" s="124"/>
      <c r="C27" s="125" t="s">
        <v>96</v>
      </c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spans="1:26" customFormat="1" ht="15" customHeight="1">
      <c r="A28" s="124" t="s">
        <v>97</v>
      </c>
      <c r="B28" s="124"/>
      <c r="C28" s="126" t="s">
        <v>98</v>
      </c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spans="1:26" customFormat="1" ht="14.25" customHeight="1">
      <c r="A29" s="124" t="s">
        <v>99</v>
      </c>
      <c r="B29" s="124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spans="1:26" customFormat="1" ht="14.25" customHeight="1">
      <c r="A30" s="124" t="s">
        <v>100</v>
      </c>
      <c r="B30" s="124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spans="1:26" customFormat="1" ht="14.25" customHeight="1">
      <c r="A31" s="124" t="s">
        <v>101</v>
      </c>
      <c r="B31" s="124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spans="1:26" customFormat="1" ht="14.2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spans="1:26" customFormat="1" ht="14.2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spans="1:26" customFormat="1" ht="14.25" customHeight="1">
      <c r="A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spans="1:26" customFormat="1" ht="14.2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spans="1:26" customFormat="1" ht="14.2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spans="1:26" customFormat="1" ht="14.2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spans="1:26" customFormat="1" ht="14.2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spans="1:26" customFormat="1" ht="14.2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spans="1:26" customFormat="1" ht="14.2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spans="1:26" customFormat="1" ht="14.2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spans="1:26" customFormat="1" ht="14.2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spans="1:26" customFormat="1" ht="14.2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customFormat="1" ht="14.2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spans="1:26" customFormat="1" ht="14.2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spans="1:26" customFormat="1" ht="14.2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spans="1:26" customFormat="1" ht="14.2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spans="1:26" customFormat="1" ht="14.2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spans="1:26" customFormat="1" ht="14.2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spans="1:26" customFormat="1" ht="14.2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spans="1:26" customFormat="1" ht="14.2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spans="1:26" customFormat="1" ht="14.2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customFormat="1" ht="14.2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spans="1:26" customFormat="1" ht="14.2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spans="1:26" customFormat="1" ht="14.2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spans="1:26" customFormat="1" ht="14.2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spans="1:26" customFormat="1" ht="14.2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spans="1:26" customFormat="1" ht="14.2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spans="1:26" customFormat="1" ht="14.2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spans="1:26" customFormat="1" ht="14.2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spans="1:26" customFormat="1" ht="14.2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customFormat="1" ht="14.2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spans="1:26" customFormat="1" ht="14.2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spans="1:26" customFormat="1" ht="14.2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spans="1:26" customFormat="1" ht="14.2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spans="1:26" customFormat="1" ht="14.2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spans="1:26" customFormat="1" ht="14.2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spans="1:26" customFormat="1" ht="14.2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spans="1:26" customFormat="1" ht="14.2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spans="1:26" customFormat="1" ht="14.2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spans="1:26" customFormat="1" ht="14.2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spans="1:26" customFormat="1" ht="14.2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spans="1:26" customFormat="1" ht="14.2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spans="1:26" customFormat="1" ht="14.2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spans="1:26" customFormat="1" ht="14.2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spans="1:26" customFormat="1" ht="14.2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spans="1:26" customFormat="1" ht="14.2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spans="1:26" customFormat="1" ht="14.2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spans="1:26" customFormat="1" ht="14.2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spans="1:26" customFormat="1" ht="14.2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spans="1:26" customFormat="1" ht="14.2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spans="1:26" customFormat="1" ht="14.2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spans="1:26" customFormat="1" ht="14.2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spans="1:26" customFormat="1" ht="14.2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spans="1:26" customFormat="1" ht="14.2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spans="1:26" customFormat="1" ht="14.2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spans="1:26" customFormat="1" ht="14.2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spans="1:26" customFormat="1" ht="14.2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spans="1:26" customFormat="1" ht="14.2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spans="1:26" customFormat="1" ht="14.2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spans="1:26" customFormat="1" ht="14.2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spans="1:26" customFormat="1" ht="14.2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spans="1:26" customFormat="1" ht="14.2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spans="1:26" customFormat="1" ht="14.2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spans="1:26" customFormat="1" ht="14.2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spans="1:26" customFormat="1" ht="14.2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spans="1:26" customFormat="1" ht="14.2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spans="1:26" customFormat="1" ht="14.2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spans="1:26" customFormat="1" ht="14.2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spans="1:26" customFormat="1" ht="14.2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spans="1:26" customFormat="1" ht="14.2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spans="1:26" customFormat="1" ht="14.2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spans="1:26" customFormat="1" ht="14.2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spans="1:26" customFormat="1" ht="14.2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spans="1:26" customFormat="1" ht="14.2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spans="1:26" customFormat="1" ht="14.2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spans="1:26" customFormat="1" ht="14.2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spans="1:26" customFormat="1" ht="14.2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spans="1:26" customFormat="1" ht="14.2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spans="1:26" customFormat="1" ht="14.2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spans="1:26" customFormat="1" ht="14.2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spans="1:26" customFormat="1" ht="14.2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spans="1:26" customFormat="1" ht="14.2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spans="1:26" customFormat="1" ht="14.2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spans="1:26" customFormat="1" ht="14.2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spans="1:26" customFormat="1" ht="14.2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spans="1:26" customFormat="1" ht="14.2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spans="1:26" customFormat="1" ht="14.2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spans="1:26" customFormat="1" ht="14.2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spans="1:26" customFormat="1" ht="14.2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spans="1:26" customFormat="1" ht="14.2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spans="1:26" customFormat="1" ht="14.2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spans="1:26" customFormat="1" ht="14.2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spans="1:26" customFormat="1" ht="14.2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spans="1:26" customFormat="1" ht="14.2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spans="1:26" customFormat="1" ht="14.2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spans="1:26" customFormat="1" ht="14.2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spans="1:26" customFormat="1" ht="14.2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spans="1:26" customFormat="1" ht="14.2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spans="1:26" customFormat="1" ht="14.2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spans="1:26" customFormat="1" ht="14.2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spans="1:26" customFormat="1" ht="14.2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spans="1:26" customFormat="1" ht="14.2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spans="1:26" customFormat="1" ht="14.2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spans="1:26" customFormat="1" ht="14.2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spans="1:26" customFormat="1" ht="14.2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spans="1:26" customFormat="1" ht="14.2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spans="1:26" customFormat="1" ht="14.2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spans="1:26" customFormat="1" ht="14.2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spans="1:26" customFormat="1" ht="14.2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spans="1:26" customFormat="1" ht="14.2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spans="1:26" customFormat="1" ht="14.2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spans="1:26" customFormat="1" ht="14.2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spans="1:26" customFormat="1" ht="14.2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spans="1:26" customFormat="1" ht="14.2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spans="1:26" customFormat="1" ht="14.2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spans="1:26" customFormat="1" ht="14.2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spans="1:26" customFormat="1" ht="14.2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spans="1:26" customFormat="1" ht="14.2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spans="1:26" customFormat="1" ht="14.2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spans="1:26" customFormat="1" ht="14.2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spans="1:26" customFormat="1" ht="14.2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spans="1:26" customFormat="1" ht="14.2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spans="1:26" customFormat="1" ht="14.2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spans="1:26" customFormat="1" ht="14.2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spans="1:26" customFormat="1" ht="14.2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spans="1:26" customFormat="1" ht="14.2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spans="1:26" customFormat="1" ht="14.2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spans="1:26" customFormat="1" ht="14.2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spans="1:26" customFormat="1" ht="14.2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spans="1:26" customFormat="1" ht="14.2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spans="1:26" customFormat="1" ht="14.2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spans="1:26" customFormat="1" ht="14.2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spans="1:26" customFormat="1" ht="14.2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spans="1:26" customFormat="1" ht="14.2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spans="1:26" customFormat="1" ht="14.2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spans="1:26" customFormat="1" ht="14.2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spans="1:26" customFormat="1" ht="14.2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spans="1:26" customFormat="1" ht="14.2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spans="1:26" customFormat="1" ht="14.2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spans="1:26" customFormat="1" ht="14.2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spans="1:26" customFormat="1" ht="14.2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spans="1:26" customFormat="1" ht="14.2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spans="1:26" customFormat="1" ht="14.2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spans="1:26" customFormat="1" ht="14.2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spans="1:26" customFormat="1" ht="14.2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spans="1:26" customFormat="1" ht="14.2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spans="1:26" customFormat="1" ht="14.2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spans="1:26" customFormat="1" ht="14.2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spans="1:26" customFormat="1" ht="14.2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spans="1:26" customFormat="1" ht="14.2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spans="1:26" customFormat="1" ht="14.2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spans="1:26" customFormat="1" ht="14.2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spans="1:26" customFormat="1" ht="14.2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spans="1:26" customFormat="1" ht="14.2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spans="1:26" customFormat="1" ht="14.2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spans="1:26" customFormat="1" ht="14.2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spans="1:26" customFormat="1" ht="14.2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spans="1:26" customFormat="1" ht="14.2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spans="1:26" customFormat="1" ht="14.2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spans="1:26" customFormat="1" ht="14.2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spans="1:26" customFormat="1" ht="14.2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spans="1:26" customFormat="1" ht="14.2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spans="1:26" customFormat="1" ht="14.2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spans="1:26" customFormat="1" ht="14.2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spans="1:26" customFormat="1" ht="14.2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spans="1:26" customFormat="1" ht="14.2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spans="1:26" customFormat="1" ht="14.2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spans="1:26" customFormat="1" ht="14.2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spans="1:26" customFormat="1" ht="14.2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spans="1:26" customFormat="1" ht="14.2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spans="1:26" customFormat="1" ht="14.2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spans="1:26" customFormat="1" ht="14.2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spans="1:26" customFormat="1" ht="14.2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spans="1:26" customFormat="1" ht="14.2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spans="1:26" customFormat="1" ht="14.2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spans="1:26" customFormat="1" ht="14.2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spans="1:26" customFormat="1" ht="14.2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spans="1:26" customFormat="1" ht="14.2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spans="1:26" customFormat="1" ht="14.2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spans="1:26" customFormat="1" ht="14.2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spans="1:26" customFormat="1" ht="14.2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spans="1:26" customFormat="1" ht="14.2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spans="1:26" customFormat="1" ht="14.2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spans="1:26" customFormat="1" ht="14.2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spans="1:26" customFormat="1" ht="14.2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spans="1:26" customFormat="1" ht="14.2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spans="1:26" customFormat="1" ht="14.2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spans="1:26" customFormat="1" ht="14.2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spans="1:26" customFormat="1" ht="14.2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spans="1:26" customFormat="1" ht="14.2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spans="1:26" customFormat="1" ht="14.2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spans="1:26" customFormat="1" ht="14.2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spans="1:26" customFormat="1" ht="14.2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customFormat="1" ht="14.2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customFormat="1" ht="14.2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customFormat="1" ht="14.2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customFormat="1" ht="14.2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customFormat="1" ht="14.2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customFormat="1" ht="14.2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customFormat="1" ht="14.2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customFormat="1" ht="14.2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customFormat="1" ht="14.2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customFormat="1" ht="14.2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customFormat="1" ht="14.2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customFormat="1" ht="14.2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customFormat="1" ht="14.2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customFormat="1" ht="14.2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customFormat="1" ht="14.2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customFormat="1" ht="14.2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customFormat="1" ht="14.2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customFormat="1" ht="14.2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customFormat="1" ht="14.2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customFormat="1" ht="14.2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customFormat="1" ht="14.2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customFormat="1" ht="14.2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customFormat="1" ht="14.2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customFormat="1" ht="14.2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customFormat="1" ht="14.2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customFormat="1" ht="14.2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customFormat="1" ht="14.2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customFormat="1" ht="14.2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customFormat="1" ht="14.2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customFormat="1" ht="14.2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customFormat="1" ht="14.2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customFormat="1" ht="14.2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customFormat="1" ht="14.2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customFormat="1" ht="14.2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customFormat="1" ht="14.2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customFormat="1" ht="14.2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customFormat="1" ht="14.2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customFormat="1" ht="14.2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customFormat="1" ht="14.2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customFormat="1" ht="14.2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customFormat="1" ht="14.2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customFormat="1" ht="14.2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customFormat="1" ht="14.2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customFormat="1" ht="14.2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customFormat="1" ht="14.2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customFormat="1" ht="14.2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customFormat="1" ht="14.2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customFormat="1" ht="14.2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customFormat="1" ht="14.2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customFormat="1" ht="14.2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customFormat="1" ht="14.2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customFormat="1" ht="14.2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customFormat="1" ht="14.2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customFormat="1" ht="14.2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customFormat="1" ht="14.2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customFormat="1" ht="14.2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customFormat="1" ht="14.2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customFormat="1" ht="14.2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customFormat="1" ht="14.2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customFormat="1" ht="14.2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customFormat="1" ht="14.2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customFormat="1" ht="14.2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customFormat="1" ht="14.2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customFormat="1" ht="14.2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customFormat="1" ht="14.2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customFormat="1" ht="14.2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customFormat="1" ht="14.2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customFormat="1" ht="14.2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customFormat="1" ht="14.2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customFormat="1" ht="14.2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customFormat="1" ht="14.2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customFormat="1" ht="14.2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customFormat="1" ht="14.2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customFormat="1" ht="14.2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customFormat="1" ht="14.2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customFormat="1" ht="14.2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customFormat="1" ht="14.2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customFormat="1" ht="14.2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customFormat="1" ht="14.2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customFormat="1" ht="14.2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customFormat="1" ht="14.2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customFormat="1" ht="14.2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customFormat="1" ht="14.2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customFormat="1" ht="14.2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customFormat="1" ht="14.2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customFormat="1" ht="14.2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customFormat="1" ht="14.2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customFormat="1" ht="14.2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customFormat="1" ht="14.2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customFormat="1" ht="14.2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customFormat="1" ht="14.2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customFormat="1" ht="14.2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customFormat="1" ht="14.2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customFormat="1" ht="14.2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customFormat="1" ht="14.2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customFormat="1" ht="14.2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customFormat="1" ht="14.2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customFormat="1" ht="14.2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customFormat="1" ht="14.2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customFormat="1" ht="14.2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customFormat="1" ht="14.2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customFormat="1" ht="14.2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customFormat="1" ht="14.2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customFormat="1" ht="14.2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customFormat="1" ht="14.2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customFormat="1" ht="14.2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customFormat="1" ht="14.2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customFormat="1" ht="14.2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customFormat="1" ht="14.2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customFormat="1" ht="14.2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customFormat="1" ht="14.2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customFormat="1" ht="14.2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customFormat="1" ht="14.2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customFormat="1" ht="14.2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customFormat="1" ht="14.2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customFormat="1" ht="14.2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customFormat="1" ht="14.2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customFormat="1" ht="14.2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customFormat="1" ht="14.2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customFormat="1" ht="14.2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customFormat="1" ht="14.2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customFormat="1" ht="14.2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customFormat="1" ht="14.2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customFormat="1" ht="14.2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customFormat="1" ht="14.2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customFormat="1" ht="14.2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customFormat="1" ht="14.2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customFormat="1" ht="14.2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customFormat="1" ht="14.2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customFormat="1" ht="14.2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customFormat="1" ht="14.2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customFormat="1" ht="14.2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customFormat="1" ht="14.2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customFormat="1" ht="14.2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customFormat="1" ht="14.2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customFormat="1" ht="14.2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customFormat="1" ht="14.2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customFormat="1" ht="14.2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customFormat="1" ht="14.2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customFormat="1" ht="14.2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customFormat="1" ht="14.2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customFormat="1" ht="14.2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customFormat="1" ht="14.2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customFormat="1" ht="14.2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customFormat="1" ht="14.2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customFormat="1" ht="14.2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customFormat="1" ht="14.2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customFormat="1" ht="14.2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customFormat="1" ht="14.2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customFormat="1" ht="14.2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customFormat="1" ht="14.2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customFormat="1" ht="14.2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customFormat="1" ht="14.2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customFormat="1" ht="14.2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customFormat="1" ht="14.2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customFormat="1" ht="14.2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customFormat="1" ht="14.2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customFormat="1" ht="14.2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customFormat="1" ht="14.2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customFormat="1" ht="14.2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customFormat="1" ht="14.2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customFormat="1" ht="14.2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customFormat="1" ht="14.2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customFormat="1" ht="14.2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customFormat="1" ht="14.2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customFormat="1" ht="14.2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customFormat="1" ht="14.2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customFormat="1" ht="14.2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customFormat="1" ht="14.2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customFormat="1" ht="14.2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customFormat="1" ht="14.2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customFormat="1" ht="14.2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customFormat="1" ht="14.2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customFormat="1" ht="14.2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customFormat="1" ht="14.2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customFormat="1" ht="14.2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customFormat="1" ht="14.2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customFormat="1" ht="14.2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customFormat="1" ht="14.2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customFormat="1" ht="14.2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customFormat="1" ht="14.2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customFormat="1" ht="14.2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customFormat="1" ht="14.2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customFormat="1" ht="14.2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customFormat="1" ht="14.2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customFormat="1" ht="14.2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customFormat="1" ht="14.2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customFormat="1" ht="14.2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customFormat="1" ht="14.2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customFormat="1" ht="14.2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customFormat="1" ht="14.2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customFormat="1" ht="14.25" customHeight="1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customFormat="1" ht="14.25" customHeight="1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customFormat="1" ht="14.25" customHeight="1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customFormat="1" ht="14.25" customHeight="1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customFormat="1" ht="14.25" customHeight="1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customFormat="1" ht="14.25" customHeight="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customFormat="1" ht="14.25" customHeight="1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customFormat="1" ht="14.25" customHeight="1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customFormat="1" ht="14.25" customHeight="1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customFormat="1" ht="14.25" customHeight="1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customFormat="1" ht="14.25" customHeight="1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customFormat="1" ht="14.25" customHeight="1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customFormat="1" ht="14.25" customHeight="1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customFormat="1" ht="14.25" customHeight="1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customFormat="1" ht="14.25" customHeight="1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customFormat="1" ht="14.25" customHeight="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customFormat="1" ht="14.25" customHeight="1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customFormat="1" ht="14.25" customHeight="1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customFormat="1" ht="14.25" customHeight="1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customFormat="1" ht="14.25" customHeight="1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customFormat="1" ht="14.25" customHeight="1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customFormat="1" ht="14.25" customHeight="1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customFormat="1" ht="14.25" customHeight="1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customFormat="1" ht="14.25" customHeight="1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customFormat="1" ht="14.25" customHeight="1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customFormat="1" ht="14.25" customHeight="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customFormat="1" ht="14.25" customHeight="1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customFormat="1" ht="14.25" customHeight="1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customFormat="1" ht="14.25" customHeight="1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customFormat="1" ht="14.25" customHeight="1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customFormat="1" ht="14.25" customHeight="1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customFormat="1" ht="14.25" customHeight="1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customFormat="1" ht="14.25" customHeight="1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customFormat="1" ht="14.25" customHeight="1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customFormat="1" ht="14.25" customHeight="1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customFormat="1" ht="14.25" customHeight="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customFormat="1" ht="14.25" customHeight="1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customFormat="1" ht="14.25" customHeight="1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customFormat="1" ht="14.25" customHeight="1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customFormat="1" ht="14.25" customHeight="1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customFormat="1" ht="14.25" customHeight="1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customFormat="1" ht="14.25" customHeight="1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customFormat="1" ht="14.25" customHeight="1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customFormat="1" ht="14.25" customHeight="1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customFormat="1" ht="14.25" customHeight="1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customFormat="1" ht="14.25" customHeight="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customFormat="1" ht="14.25" customHeight="1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customFormat="1" ht="14.25" customHeight="1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customFormat="1" ht="14.25" customHeight="1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customFormat="1" ht="14.25" customHeight="1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customFormat="1" ht="14.25" customHeight="1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customFormat="1" ht="14.25" customHeight="1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customFormat="1" ht="14.25" customHeight="1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customFormat="1" ht="14.25" customHeight="1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customFormat="1" ht="14.25" customHeight="1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customFormat="1" ht="14.25" customHeight="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customFormat="1" ht="14.25" customHeight="1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customFormat="1" ht="14.25" customHeight="1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customFormat="1" ht="14.25" customHeight="1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customFormat="1" ht="14.25" customHeight="1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customFormat="1" ht="14.25" customHeight="1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customFormat="1" ht="14.25" customHeight="1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customFormat="1" ht="14.25" customHeight="1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customFormat="1" ht="14.25" customHeight="1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customFormat="1" ht="14.25" customHeight="1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customFormat="1" ht="14.25" customHeight="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customFormat="1" ht="14.25" customHeight="1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customFormat="1" ht="14.25" customHeight="1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customFormat="1" ht="14.25" customHeight="1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customFormat="1" ht="14.25" customHeight="1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customFormat="1" ht="14.25" customHeight="1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customFormat="1" ht="14.25" customHeight="1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customFormat="1" ht="14.25" customHeight="1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customFormat="1" ht="14.25" customHeight="1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customFormat="1" ht="14.25" customHeight="1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customFormat="1" ht="14.25" customHeight="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customFormat="1" ht="14.25" customHeight="1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customFormat="1" ht="14.25" customHeight="1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customFormat="1" ht="14.25" customHeight="1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customFormat="1" ht="14.25" customHeight="1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customFormat="1" ht="14.25" customHeight="1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customFormat="1" ht="14.25" customHeight="1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customFormat="1" ht="14.25" customHeight="1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customFormat="1" ht="14.25" customHeight="1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customFormat="1" ht="14.25" customHeight="1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customFormat="1" ht="14.25" customHeight="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customFormat="1" ht="14.25" customHeight="1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customFormat="1" ht="14.25" customHeight="1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customFormat="1" ht="14.25" customHeight="1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customFormat="1" ht="14.25" customHeight="1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customFormat="1" ht="14.25" customHeight="1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customFormat="1" ht="14.25" customHeight="1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customFormat="1" ht="14.25" customHeight="1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customFormat="1" ht="14.25" customHeight="1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customFormat="1" ht="14.25" customHeight="1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customFormat="1" ht="14.25" customHeight="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customFormat="1" ht="14.25" customHeight="1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customFormat="1" ht="14.25" customHeight="1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customFormat="1" ht="14.25" customHeight="1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customFormat="1" ht="14.25" customHeight="1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customFormat="1" ht="14.25" customHeight="1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customFormat="1" ht="14.25" customHeight="1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customFormat="1" ht="14.25" customHeight="1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customFormat="1" ht="14.25" customHeight="1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customFormat="1" ht="14.25" customHeight="1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customFormat="1" ht="14.25" customHeight="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customFormat="1" ht="14.25" customHeight="1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customFormat="1" ht="14.25" customHeight="1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customFormat="1" ht="14.25" customHeight="1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customFormat="1" ht="14.25" customHeight="1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customFormat="1" ht="14.25" customHeight="1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customFormat="1" ht="14.25" customHeight="1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customFormat="1" ht="14.25" customHeight="1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customFormat="1" ht="14.25" customHeight="1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customFormat="1" ht="14.25" customHeight="1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customFormat="1" ht="14.25" customHeight="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customFormat="1" ht="14.25" customHeight="1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customFormat="1" ht="14.25" customHeight="1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customFormat="1" ht="14.25" customHeight="1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customFormat="1" ht="14.25" customHeight="1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customFormat="1" ht="14.25" customHeight="1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customFormat="1" ht="14.25" customHeight="1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customFormat="1" ht="14.25" customHeight="1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customFormat="1" ht="14.25" customHeight="1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customFormat="1" ht="14.25" customHeight="1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customFormat="1" ht="14.25" customHeight="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customFormat="1" ht="14.25" customHeight="1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customFormat="1" ht="14.25" customHeight="1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customFormat="1" ht="14.25" customHeight="1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customFormat="1" ht="14.25" customHeight="1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customFormat="1" ht="14.25" customHeight="1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customFormat="1" ht="14.25" customHeight="1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customFormat="1" ht="14.25" customHeight="1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customFormat="1" ht="14.25" customHeight="1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customFormat="1" ht="14.25" customHeight="1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customFormat="1" ht="14.25" customHeight="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customFormat="1" ht="14.25" customHeight="1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customFormat="1" ht="14.25" customHeight="1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customFormat="1" ht="14.25" customHeight="1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customFormat="1" ht="14.25" customHeight="1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customFormat="1" ht="14.25" customHeight="1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customFormat="1" ht="14.25" customHeight="1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customFormat="1" ht="14.25" customHeight="1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customFormat="1" ht="14.25" customHeight="1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customFormat="1" ht="14.25" customHeight="1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customFormat="1" ht="14.25" customHeight="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customFormat="1" ht="14.25" customHeight="1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customFormat="1" ht="14.25" customHeight="1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customFormat="1" ht="14.25" customHeight="1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customFormat="1" ht="14.25" customHeight="1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customFormat="1" ht="14.25" customHeight="1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customFormat="1" ht="14.25" customHeight="1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customFormat="1" ht="14.25" customHeight="1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customFormat="1" ht="14.25" customHeight="1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customFormat="1" ht="14.25" customHeight="1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customFormat="1" ht="14.25" customHeight="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customFormat="1" ht="14.25" customHeight="1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customFormat="1" ht="14.25" customHeight="1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customFormat="1" ht="14.25" customHeight="1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customFormat="1" ht="14.25" customHeight="1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customFormat="1" ht="14.25" customHeight="1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customFormat="1" ht="14.25" customHeight="1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customFormat="1" ht="14.25" customHeight="1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customFormat="1" ht="14.25" customHeight="1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customFormat="1" ht="14.25" customHeight="1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customFormat="1" ht="14.25" customHeight="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customFormat="1" ht="14.25" customHeight="1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customFormat="1" ht="14.25" customHeight="1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customFormat="1" ht="14.25" customHeight="1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customFormat="1" ht="14.25" customHeight="1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customFormat="1" ht="14.25" customHeight="1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customFormat="1" ht="14.25" customHeight="1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customFormat="1" ht="14.25" customHeight="1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customFormat="1" ht="14.25" customHeight="1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customFormat="1" ht="14.25" customHeight="1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customFormat="1" ht="14.25" customHeight="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customFormat="1" ht="14.25" customHeight="1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customFormat="1" ht="14.25" customHeight="1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customFormat="1" ht="14.25" customHeight="1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customFormat="1" ht="14.25" customHeight="1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customFormat="1" ht="14.25" customHeight="1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customFormat="1" ht="14.25" customHeight="1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customFormat="1" ht="14.25" customHeight="1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customFormat="1" ht="14.25" customHeight="1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customFormat="1" ht="14.25" customHeight="1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customFormat="1" ht="14.25" customHeight="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customFormat="1" ht="14.25" customHeight="1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customFormat="1" ht="14.25" customHeight="1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customFormat="1" ht="14.25" customHeight="1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customFormat="1" ht="14.25" customHeight="1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customFormat="1" ht="14.25" customHeight="1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customFormat="1" ht="14.25" customHeight="1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customFormat="1" ht="14.25" customHeight="1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customFormat="1" ht="14.25" customHeight="1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customFormat="1" ht="14.25" customHeight="1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customFormat="1" ht="14.25" customHeight="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customFormat="1" ht="14.25" customHeight="1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customFormat="1" ht="14.25" customHeight="1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customFormat="1" ht="14.25" customHeight="1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customFormat="1" ht="14.25" customHeight="1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customFormat="1" ht="14.25" customHeight="1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customFormat="1" ht="14.25" customHeight="1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customFormat="1" ht="14.25" customHeight="1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customFormat="1" ht="14.25" customHeight="1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customFormat="1" ht="14.25" customHeight="1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customFormat="1" ht="14.25" customHeight="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customFormat="1" ht="14.25" customHeight="1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customFormat="1" ht="14.25" customHeight="1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customFormat="1" ht="14.25" customHeight="1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customFormat="1" ht="14.25" customHeight="1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customFormat="1" ht="14.25" customHeight="1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customFormat="1" ht="14.25" customHeight="1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customFormat="1" ht="14.25" customHeight="1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customFormat="1" ht="14.25" customHeight="1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customFormat="1" ht="14.25" customHeight="1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customFormat="1" ht="14.25" customHeight="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customFormat="1" ht="14.25" customHeight="1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customFormat="1" ht="14.25" customHeight="1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customFormat="1" ht="14.25" customHeight="1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customFormat="1" ht="14.25" customHeight="1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customFormat="1" ht="14.25" customHeight="1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customFormat="1" ht="14.25" customHeight="1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customFormat="1" ht="14.25" customHeight="1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customFormat="1" ht="14.25" customHeight="1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customFormat="1" ht="14.25" customHeight="1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customFormat="1" ht="14.25" customHeight="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customFormat="1" ht="14.25" customHeight="1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customFormat="1" ht="14.25" customHeight="1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customFormat="1" ht="14.25" customHeight="1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customFormat="1" ht="14.25" customHeight="1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customFormat="1" ht="14.25" customHeight="1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customFormat="1" ht="14.25" customHeight="1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customFormat="1" ht="14.25" customHeight="1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customFormat="1" ht="14.25" customHeight="1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customFormat="1" ht="14.25" customHeight="1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customFormat="1" ht="14.25" customHeight="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customFormat="1" ht="14.25" customHeight="1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customFormat="1" ht="14.25" customHeight="1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customFormat="1" ht="14.25" customHeight="1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customFormat="1" ht="14.25" customHeight="1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customFormat="1" ht="14.25" customHeight="1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customFormat="1" ht="14.25" customHeight="1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customFormat="1" ht="14.25" customHeight="1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customFormat="1" ht="14.25" customHeight="1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customFormat="1" ht="14.25" customHeight="1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customFormat="1" ht="14.25" customHeight="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customFormat="1" ht="14.25" customHeight="1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customFormat="1" ht="14.25" customHeight="1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customFormat="1" ht="14.25" customHeight="1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customFormat="1" ht="14.25" customHeight="1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customFormat="1" ht="14.25" customHeight="1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customFormat="1" ht="14.25" customHeight="1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customFormat="1" ht="14.25" customHeight="1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customFormat="1" ht="14.25" customHeight="1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customFormat="1" ht="14.25" customHeight="1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customFormat="1" ht="14.25" customHeight="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customFormat="1" ht="14.25" customHeight="1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customFormat="1" ht="14.25" customHeight="1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customFormat="1" ht="14.25" customHeight="1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customFormat="1" ht="14.25" customHeight="1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customFormat="1" ht="14.25" customHeight="1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customFormat="1" ht="14.25" customHeight="1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customFormat="1" ht="14.25" customHeight="1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customFormat="1" ht="14.25" customHeight="1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customFormat="1" ht="14.25" customHeight="1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customFormat="1" ht="14.25" customHeight="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customFormat="1" ht="14.25" customHeight="1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customFormat="1" ht="14.25" customHeight="1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customFormat="1" ht="14.25" customHeight="1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customFormat="1" ht="14.25" customHeight="1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customFormat="1" ht="14.25" customHeight="1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customFormat="1" ht="14.25" customHeight="1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customFormat="1" ht="14.25" customHeight="1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customFormat="1" ht="14.25" customHeight="1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customFormat="1" ht="14.25" customHeight="1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customFormat="1" ht="14.25" customHeight="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customFormat="1" ht="14.25" customHeight="1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customFormat="1" ht="14.25" customHeight="1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customFormat="1" ht="14.25" customHeight="1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customFormat="1" ht="14.25" customHeight="1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customFormat="1" ht="14.25" customHeight="1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customFormat="1" ht="14.25" customHeight="1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customFormat="1" ht="14.25" customHeight="1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customFormat="1" ht="14.25" customHeight="1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customFormat="1" ht="14.25" customHeight="1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customFormat="1" ht="14.25" customHeight="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customFormat="1" ht="14.25" customHeight="1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customFormat="1" ht="14.25" customHeight="1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customFormat="1" ht="14.25" customHeight="1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customFormat="1" ht="14.25" customHeight="1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customFormat="1" ht="14.25" customHeight="1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customFormat="1" ht="14.25" customHeight="1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customFormat="1" ht="14.25" customHeight="1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customFormat="1" ht="14.25" customHeight="1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customFormat="1" ht="14.25" customHeight="1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customFormat="1" ht="14.25" customHeight="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customFormat="1" ht="14.25" customHeight="1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customFormat="1" ht="14.25" customHeight="1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customFormat="1" ht="14.25" customHeight="1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customFormat="1" ht="14.25" customHeight="1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customFormat="1" ht="14.25" customHeight="1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customFormat="1" ht="14.25" customHeight="1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customFormat="1" ht="14.25" customHeight="1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customFormat="1" ht="14.25" customHeight="1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customFormat="1" ht="14.25" customHeight="1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customFormat="1" ht="14.25" customHeight="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customFormat="1" ht="14.25" customHeight="1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customFormat="1" ht="14.25" customHeight="1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customFormat="1" ht="14.25" customHeight="1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customFormat="1" ht="14.25" customHeight="1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customFormat="1" ht="14.25" customHeight="1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customFormat="1" ht="14.25" customHeight="1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customFormat="1" ht="14.25" customHeight="1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customFormat="1" ht="14.25" customHeight="1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customFormat="1" ht="14.25" customHeight="1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customFormat="1" ht="14.25" customHeight="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customFormat="1" ht="14.25" customHeight="1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customFormat="1" ht="14.25" customHeight="1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customFormat="1" ht="14.25" customHeight="1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customFormat="1" ht="14.25" customHeight="1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customFormat="1" ht="14.25" customHeight="1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customFormat="1" ht="14.25" customHeight="1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customFormat="1" ht="14.25" customHeight="1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customFormat="1" ht="14.25" customHeight="1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customFormat="1" ht="14.25" customHeight="1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customFormat="1" ht="14.25" customHeight="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customFormat="1" ht="14.25" customHeight="1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customFormat="1" ht="14.25" customHeight="1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customFormat="1" ht="14.25" customHeight="1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customFormat="1" ht="14.25" customHeight="1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customFormat="1" ht="14.25" customHeight="1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customFormat="1" ht="14.25" customHeight="1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customFormat="1" ht="14.25" customHeight="1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customFormat="1" ht="14.25" customHeight="1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customFormat="1" ht="14.25" customHeight="1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customFormat="1" ht="14.25" customHeight="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customFormat="1" ht="14.25" customHeight="1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customFormat="1" ht="14.25" customHeight="1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customFormat="1" ht="14.25" customHeight="1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customFormat="1" ht="14.25" customHeight="1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customFormat="1" ht="14.25" customHeight="1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customFormat="1" ht="14.25" customHeight="1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customFormat="1" ht="14.25" customHeight="1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customFormat="1" ht="14.25" customHeight="1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customFormat="1" ht="14.25" customHeight="1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customFormat="1" ht="14.25" customHeight="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customFormat="1" ht="14.25" customHeight="1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customFormat="1" ht="14.25" customHeight="1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customFormat="1" ht="14.25" customHeight="1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customFormat="1" ht="14.25" customHeight="1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customFormat="1" ht="14.25" customHeight="1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customFormat="1" ht="14.25" customHeight="1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customFormat="1" ht="14.25" customHeight="1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customFormat="1" ht="14.25" customHeight="1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customFormat="1" ht="14.25" customHeight="1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customFormat="1" ht="14.25" customHeight="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customFormat="1" ht="14.25" customHeight="1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customFormat="1" ht="14.25" customHeight="1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customFormat="1" ht="14.25" customHeight="1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customFormat="1" ht="14.25" customHeight="1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customFormat="1" ht="14.25" customHeight="1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customFormat="1" ht="14.25" customHeight="1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customFormat="1" ht="14.25" customHeight="1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customFormat="1" ht="14.25" customHeight="1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customFormat="1" ht="14.25" customHeight="1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customFormat="1" ht="14.25" customHeight="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customFormat="1" ht="14.25" customHeight="1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customFormat="1" ht="14.25" customHeight="1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customFormat="1" ht="14.25" customHeight="1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customFormat="1" ht="14.25" customHeight="1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customFormat="1" ht="14.25" customHeight="1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customFormat="1" ht="14.25" customHeight="1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customFormat="1" ht="14.25" customHeight="1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customFormat="1" ht="14.25" customHeight="1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customFormat="1" ht="14.25" customHeight="1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customFormat="1" ht="14.25" customHeight="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customFormat="1" ht="14.25" customHeight="1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customFormat="1" ht="14.25" customHeight="1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customFormat="1" ht="14.25" customHeight="1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customFormat="1" ht="14.25" customHeight="1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customFormat="1" ht="14.25" customHeight="1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customFormat="1" ht="14.25" customHeight="1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customFormat="1" ht="14.25" customHeight="1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customFormat="1" ht="14.25" customHeight="1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customFormat="1" ht="14.25" customHeight="1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customFormat="1" ht="14.25" customHeight="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customFormat="1" ht="14.25" customHeight="1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customFormat="1" ht="14.25" customHeight="1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customFormat="1" ht="14.25" customHeight="1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customFormat="1" ht="14.25" customHeight="1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customFormat="1" ht="14.25" customHeight="1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customFormat="1" ht="14.25" customHeight="1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customFormat="1" ht="14.25" customHeight="1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customFormat="1" ht="14.25" customHeight="1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customFormat="1" ht="14.25" customHeight="1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customFormat="1" ht="14.25" customHeight="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customFormat="1" ht="14.25" customHeight="1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customFormat="1" ht="14.25" customHeight="1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customFormat="1" ht="14.25" customHeight="1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customFormat="1" ht="14.25" customHeight="1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customFormat="1" ht="14.25" customHeight="1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customFormat="1" ht="14.25" customHeight="1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customFormat="1" ht="14.25" customHeight="1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customFormat="1" ht="14.25" customHeight="1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customFormat="1" ht="14.25" customHeight="1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customFormat="1" ht="14.25" customHeight="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customFormat="1" ht="14.25" customHeight="1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customFormat="1" ht="14.25" customHeight="1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customFormat="1" ht="14.25" customHeight="1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customFormat="1" ht="14.25" customHeight="1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customFormat="1" ht="14.25" customHeight="1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customFormat="1" ht="14.25" customHeight="1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customFormat="1" ht="14.25" customHeight="1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customFormat="1" ht="14.25" customHeight="1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customFormat="1" ht="14.25" customHeight="1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customFormat="1" ht="14.25" customHeight="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customFormat="1" ht="14.25" customHeight="1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customFormat="1" ht="14.25" customHeight="1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customFormat="1" ht="14.25" customHeight="1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customFormat="1" ht="14.25" customHeight="1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customFormat="1" ht="14.25" customHeight="1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customFormat="1" ht="14.25" customHeight="1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customFormat="1" ht="14.25" customHeight="1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customFormat="1" ht="14.25" customHeight="1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customFormat="1" ht="14.25" customHeight="1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customFormat="1" ht="14.25" customHeight="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customFormat="1" ht="14.25" customHeight="1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customFormat="1" ht="14.25" customHeight="1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customFormat="1" ht="14.25" customHeight="1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customFormat="1" ht="14.25" customHeight="1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customFormat="1" ht="14.25" customHeight="1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customFormat="1" ht="14.25" customHeight="1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customFormat="1" ht="14.25" customHeight="1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customFormat="1" ht="14.25" customHeight="1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customFormat="1" ht="14.25" customHeight="1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customFormat="1" ht="14.25" customHeight="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customFormat="1" ht="14.25" customHeight="1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customFormat="1" ht="14.25" customHeight="1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customFormat="1" ht="14.25" customHeight="1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customFormat="1" ht="14.25" customHeight="1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customFormat="1" ht="14.25" customHeight="1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customFormat="1" ht="14.25" customHeight="1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customFormat="1" ht="14.25" customHeight="1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customFormat="1" ht="14.25" customHeight="1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customFormat="1" ht="14.25" customHeight="1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customFormat="1" ht="14.25" customHeight="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customFormat="1" ht="14.25" customHeight="1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customFormat="1" ht="14.25" customHeight="1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customFormat="1" ht="14.25" customHeight="1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customFormat="1" ht="14.25" customHeight="1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customFormat="1" ht="14.25" customHeight="1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customFormat="1" ht="14.25" customHeight="1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customFormat="1" ht="14.25" customHeight="1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customFormat="1" ht="14.25" customHeight="1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customFormat="1" ht="14.25" customHeight="1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customFormat="1" ht="14.25" customHeight="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customFormat="1" ht="14.25" customHeight="1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customFormat="1" ht="14.25" customHeight="1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customFormat="1" ht="14.25" customHeight="1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customFormat="1" ht="14.25" customHeight="1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customFormat="1" ht="14.25" customHeight="1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customFormat="1" ht="14.25" customHeight="1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customFormat="1" ht="14.25" customHeight="1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customFormat="1" ht="14.25" customHeight="1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customFormat="1" ht="14.25" customHeight="1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customFormat="1" ht="14.25" customHeight="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customFormat="1" ht="14.25" customHeight="1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customFormat="1" ht="14.25" customHeight="1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customFormat="1" ht="14.25" customHeight="1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customFormat="1" ht="14.25" customHeight="1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customFormat="1" ht="14.25" customHeight="1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customFormat="1" ht="14.25" customHeight="1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customFormat="1" ht="14.25" customHeight="1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customFormat="1" ht="14.25" customHeight="1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customFormat="1" ht="14.25" customHeight="1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customFormat="1" ht="14.25" customHeight="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customFormat="1" ht="14.25" customHeight="1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customFormat="1" ht="14.25" customHeight="1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spans="1:26" customFormat="1" ht="14.25" customHeight="1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spans="1:26" customFormat="1" ht="14.25" customHeight="1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spans="1:26" customFormat="1" ht="14.25" customHeight="1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spans="1:26" customFormat="1" ht="14.25" customHeight="1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spans="1:26" customFormat="1" ht="14.25" customHeight="1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spans="1:26" customFormat="1" ht="14.25" customHeight="1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spans="1:26" customFormat="1" ht="14.25" customHeight="1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spans="1:26" customFormat="1" ht="14.25" customHeight="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spans="1:26" customFormat="1" ht="14.25" customHeight="1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spans="1:26" customFormat="1" ht="14.25" customHeight="1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spans="1:26" customFormat="1" ht="14.25" customHeight="1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spans="1:26" customFormat="1" ht="14.25" customHeight="1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spans="1:26" customFormat="1" ht="14.25" customHeight="1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spans="1:26" customFormat="1" ht="14.25" customHeight="1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spans="1:26" customFormat="1" ht="14.25" customHeight="1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spans="1:26" customFormat="1" ht="14.25" customHeight="1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spans="1:26" customFormat="1" ht="14.25" customHeight="1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spans="1:26" customFormat="1" ht="14.25" customHeight="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spans="1:26" customFormat="1" ht="14.25" customHeight="1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spans="1:26" customFormat="1" ht="14.25" customHeight="1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spans="1:26" customFormat="1" ht="14.25" customHeight="1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spans="1:26" customFormat="1" ht="14.25" customHeight="1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spans="1:26" customFormat="1" ht="14.25" customHeight="1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spans="1:26" customFormat="1" ht="14.25" customHeight="1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spans="1:26" customFormat="1" ht="14.25" customHeight="1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spans="1:26" customFormat="1" ht="14.25" customHeight="1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spans="1:26" customFormat="1" ht="14.25" customHeight="1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spans="1:26" customFormat="1" ht="14.25" customHeight="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spans="1:26" customFormat="1" ht="14.25" customHeight="1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spans="1:26" customFormat="1" ht="14.25" customHeight="1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spans="1:26" customFormat="1" ht="14.25" customHeight="1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spans="1:26" customFormat="1" ht="14.25" customHeight="1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spans="1:26" customFormat="1" ht="14.25" customHeight="1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spans="1:26" customFormat="1" ht="14.25" customHeight="1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spans="1:26" customFormat="1" ht="14.25" customHeight="1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spans="1:26" customFormat="1" ht="14.25" customHeight="1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spans="1:26" customFormat="1" ht="14.25" customHeight="1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spans="1:26" customFormat="1" ht="14.25" customHeight="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spans="1:26" customFormat="1" ht="14.25" customHeight="1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spans="1:26" customFormat="1" ht="14.25" customHeight="1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spans="1:26" customFormat="1" ht="14.25" customHeight="1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spans="1:26" customFormat="1" ht="14.25" customHeight="1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spans="1:26" customFormat="1" ht="14.25" customHeight="1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spans="1:26" customFormat="1" ht="14.25" customHeight="1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</sheetData>
  <phoneticPr fontId="22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926"/>
  <sheetViews>
    <sheetView zoomScale="70" zoomScaleNormal="70" workbookViewId="0">
      <pane xSplit="7" topLeftCell="H1" activePane="topRight" state="frozen"/>
      <selection pane="topRight" activeCell="P130" sqref="P130"/>
    </sheetView>
  </sheetViews>
  <sheetFormatPr defaultColWidth="13.09765625" defaultRowHeight="15" customHeight="1"/>
  <cols>
    <col min="1" max="1" width="16" style="56" customWidth="1"/>
    <col min="2" max="2" width="39.09765625" style="56" customWidth="1"/>
    <col min="3" max="3" width="7.09765625" style="56" customWidth="1"/>
    <col min="4" max="4" width="1" style="56" customWidth="1"/>
    <col min="5" max="5" width="16.59765625" style="56" customWidth="1"/>
    <col min="6" max="6" width="1" style="56" customWidth="1"/>
    <col min="7" max="7" width="16.59765625" style="56" customWidth="1"/>
    <col min="8" max="8" width="1" style="56" customWidth="1"/>
    <col min="9" max="10" width="13.59765625" style="56" customWidth="1"/>
    <col min="11" max="11" width="1" style="56" customWidth="1"/>
    <col min="12" max="28" width="7.59765625" style="56" customWidth="1"/>
    <col min="29" max="29" width="13.09765625" style="56" customWidth="1"/>
    <col min="30" max="42" width="13.09765625" style="56"/>
    <col min="43" max="43" width="25.59765625" style="56" customWidth="1"/>
    <col min="44" max="44" width="17.09765625" style="56" customWidth="1"/>
    <col min="45" max="45" width="23.8984375" style="56" customWidth="1"/>
    <col min="46" max="46" width="21.3984375" style="56" customWidth="1"/>
    <col min="47" max="47" width="25" style="56" customWidth="1"/>
    <col min="48" max="48" width="19.8984375" style="56" customWidth="1"/>
    <col min="49" max="54" width="13.09765625" style="56"/>
    <col min="55" max="55" width="14.5" style="56" customWidth="1"/>
    <col min="56" max="56" width="18.3984375" style="56" customWidth="1"/>
    <col min="57" max="57" width="18.59765625" style="56" customWidth="1"/>
    <col min="58" max="58" width="18.3984375" style="56" customWidth="1"/>
    <col min="59" max="59" width="18.59765625" style="56" customWidth="1"/>
    <col min="60" max="60" width="19" style="56" customWidth="1"/>
    <col min="61" max="61" width="19.09765625" style="56" customWidth="1"/>
    <col min="62" max="62" width="22" style="56" customWidth="1"/>
    <col min="63" max="63" width="22.09765625" style="56" customWidth="1"/>
    <col min="64" max="64" width="22" style="56" customWidth="1"/>
    <col min="65" max="65" width="22.09765625" style="56" customWidth="1"/>
    <col min="66" max="66" width="22.59765625" style="56" customWidth="1"/>
    <col min="67" max="67" width="22.8984375" style="56" customWidth="1"/>
    <col min="68" max="68" width="23.3984375" style="56" customWidth="1"/>
    <col min="69" max="69" width="23.59765625" style="56" customWidth="1"/>
    <col min="70" max="70" width="23.3984375" style="56" customWidth="1"/>
    <col min="71" max="71" width="23.59765625" style="56" customWidth="1"/>
    <col min="72" max="72" width="24" style="56" customWidth="1"/>
    <col min="73" max="73" width="24.09765625" style="56" customWidth="1"/>
    <col min="74" max="74" width="32.3984375" style="56" customWidth="1"/>
    <col min="75" max="75" width="32.59765625" style="56" customWidth="1"/>
    <col min="76" max="76" width="32.3984375" style="56" customWidth="1"/>
    <col min="77" max="77" width="32.59765625" style="56" customWidth="1"/>
    <col min="78" max="78" width="33" style="56" customWidth="1"/>
    <col min="79" max="79" width="33.09765625" style="56" customWidth="1"/>
    <col min="80" max="80" width="32.3984375" style="56" customWidth="1"/>
    <col min="81" max="81" width="32.59765625" style="56" customWidth="1"/>
    <col min="82" max="82" width="32.3984375" style="56" customWidth="1"/>
    <col min="83" max="83" width="32.59765625" style="56" customWidth="1"/>
    <col min="84" max="84" width="33" style="56" customWidth="1"/>
    <col min="85" max="85" width="33.09765625" style="56" customWidth="1"/>
    <col min="86" max="16384" width="13.09765625" style="56"/>
  </cols>
  <sheetData>
    <row r="1" spans="1:85" ht="36">
      <c r="A1" s="174" t="s">
        <v>102</v>
      </c>
      <c r="B1" s="163" t="s">
        <v>103</v>
      </c>
      <c r="C1" s="164"/>
      <c r="D1" s="88"/>
      <c r="E1" s="165"/>
      <c r="F1" s="166"/>
      <c r="G1" s="167"/>
      <c r="H1" s="89"/>
      <c r="I1" s="168"/>
      <c r="J1" s="169"/>
      <c r="K1" s="90"/>
      <c r="AV1" s="84" t="s">
        <v>104</v>
      </c>
    </row>
    <row r="2" spans="1:85" ht="14.85" customHeight="1">
      <c r="A2" s="175"/>
      <c r="B2" s="170" t="s">
        <v>105</v>
      </c>
      <c r="C2" s="171"/>
      <c r="D2" s="88"/>
      <c r="E2" s="91" t="s">
        <v>106</v>
      </c>
      <c r="F2" s="88"/>
      <c r="G2" s="91" t="s">
        <v>107</v>
      </c>
      <c r="H2" s="88"/>
      <c r="I2" s="92" t="s">
        <v>106</v>
      </c>
      <c r="J2" s="92" t="s">
        <v>107</v>
      </c>
      <c r="K2" s="93"/>
    </row>
    <row r="3" spans="1:85" ht="8.1" customHeight="1">
      <c r="A3" s="88"/>
      <c r="B3" s="88"/>
      <c r="C3" s="88"/>
      <c r="D3" s="94"/>
      <c r="E3" s="94"/>
      <c r="F3" s="94"/>
      <c r="G3" s="94"/>
      <c r="H3" s="94"/>
      <c r="I3" s="95"/>
      <c r="J3" s="95"/>
      <c r="K3" s="95"/>
    </row>
    <row r="4" spans="1:85" ht="15" customHeight="1">
      <c r="A4" s="176" t="s">
        <v>108</v>
      </c>
      <c r="B4" s="96" t="s">
        <v>109</v>
      </c>
      <c r="C4" s="97"/>
      <c r="D4" s="94"/>
      <c r="E4" s="98">
        <v>9834</v>
      </c>
      <c r="F4" s="94"/>
      <c r="G4" s="98">
        <v>10818</v>
      </c>
      <c r="H4" s="94"/>
      <c r="I4" s="99"/>
      <c r="J4" s="99"/>
      <c r="K4" s="95"/>
      <c r="AP4" s="199" t="s">
        <v>110</v>
      </c>
      <c r="AQ4" s="200"/>
      <c r="AR4" s="201"/>
      <c r="AS4" s="172" t="s">
        <v>106</v>
      </c>
      <c r="AT4" s="173"/>
      <c r="AU4" s="172" t="s">
        <v>107</v>
      </c>
      <c r="AV4" s="173"/>
      <c r="AX4" s="59" t="s">
        <v>111</v>
      </c>
      <c r="AY4" s="59" t="s">
        <v>112</v>
      </c>
      <c r="AZ4" s="59" t="s">
        <v>113</v>
      </c>
      <c r="BA4" s="59" t="s">
        <v>114</v>
      </c>
      <c r="BB4" s="59" t="s">
        <v>115</v>
      </c>
      <c r="BC4" s="59" t="s">
        <v>116</v>
      </c>
      <c r="BD4" s="59" t="s">
        <v>117</v>
      </c>
      <c r="BE4" s="59" t="s">
        <v>118</v>
      </c>
      <c r="BF4" s="59" t="s">
        <v>119</v>
      </c>
      <c r="BG4" s="59" t="s">
        <v>120</v>
      </c>
      <c r="BH4" s="59" t="s">
        <v>121</v>
      </c>
      <c r="BI4" s="59" t="s">
        <v>122</v>
      </c>
      <c r="BJ4" s="59" t="s">
        <v>123</v>
      </c>
      <c r="BK4" s="59" t="s">
        <v>124</v>
      </c>
      <c r="BL4" s="59" t="s">
        <v>125</v>
      </c>
      <c r="BM4" s="59" t="s">
        <v>126</v>
      </c>
      <c r="BN4" s="59" t="s">
        <v>127</v>
      </c>
      <c r="BO4" s="59" t="s">
        <v>128</v>
      </c>
      <c r="BP4" s="59" t="s">
        <v>129</v>
      </c>
      <c r="BQ4" s="59" t="s">
        <v>130</v>
      </c>
      <c r="BR4" s="59" t="s">
        <v>131</v>
      </c>
      <c r="BS4" s="59" t="s">
        <v>132</v>
      </c>
      <c r="BT4" s="59" t="s">
        <v>133</v>
      </c>
      <c r="BU4" s="59" t="s">
        <v>134</v>
      </c>
      <c r="BV4" s="59" t="s">
        <v>135</v>
      </c>
      <c r="BW4" s="59" t="s">
        <v>136</v>
      </c>
      <c r="BX4" s="59" t="s">
        <v>137</v>
      </c>
      <c r="BY4" s="59" t="s">
        <v>138</v>
      </c>
      <c r="BZ4" s="59" t="s">
        <v>139</v>
      </c>
      <c r="CA4" s="59" t="s">
        <v>140</v>
      </c>
      <c r="CB4" s="59" t="s">
        <v>141</v>
      </c>
      <c r="CC4" s="59" t="s">
        <v>142</v>
      </c>
      <c r="CD4" s="59" t="s">
        <v>143</v>
      </c>
      <c r="CE4" s="59" t="s">
        <v>144</v>
      </c>
      <c r="CF4" s="59" t="s">
        <v>145</v>
      </c>
      <c r="CG4" s="59" t="s">
        <v>146</v>
      </c>
    </row>
    <row r="5" spans="1:85" ht="14.85" customHeight="1">
      <c r="A5" s="177"/>
      <c r="B5" s="96" t="s">
        <v>147</v>
      </c>
      <c r="C5" s="97"/>
      <c r="D5" s="94"/>
      <c r="E5" s="98">
        <v>9747</v>
      </c>
      <c r="F5" s="94"/>
      <c r="G5" s="98">
        <v>10745</v>
      </c>
      <c r="H5" s="94"/>
      <c r="I5" s="99"/>
      <c r="J5" s="99"/>
      <c r="K5" s="95"/>
      <c r="AP5" s="202"/>
      <c r="AQ5" s="203"/>
      <c r="AR5" s="204"/>
      <c r="AS5" s="100" t="s">
        <v>148</v>
      </c>
      <c r="AT5" s="100" t="s">
        <v>149</v>
      </c>
      <c r="AU5" s="100" t="s">
        <v>148</v>
      </c>
      <c r="AV5" s="100" t="s">
        <v>149</v>
      </c>
      <c r="AX5" s="58"/>
      <c r="AY5" s="58"/>
      <c r="AZ5" s="58"/>
      <c r="BA5" s="58"/>
      <c r="BB5" s="58"/>
      <c r="BC5" s="58" t="s">
        <v>106</v>
      </c>
      <c r="BD5" s="101">
        <f>+E11</f>
        <v>53.72038793103448</v>
      </c>
      <c r="BE5" s="101">
        <f>+E10</f>
        <v>58.98</v>
      </c>
      <c r="BF5" s="101">
        <f>+E8</f>
        <v>92.567068965517237</v>
      </c>
      <c r="BG5" s="101">
        <f>+E7</f>
        <v>483.04</v>
      </c>
      <c r="BH5" s="101">
        <f>+E13</f>
        <v>61.06815517241381</v>
      </c>
      <c r="BI5" s="101">
        <f>+E12</f>
        <v>81.018000000000001</v>
      </c>
      <c r="BJ5" s="101">
        <f>+E122</f>
        <v>0</v>
      </c>
      <c r="BK5" s="101">
        <f>+E121</f>
        <v>0</v>
      </c>
      <c r="BL5" s="101">
        <f>+E119</f>
        <v>0</v>
      </c>
      <c r="BM5" s="101">
        <f>+E118</f>
        <v>0</v>
      </c>
      <c r="BN5" s="101">
        <f>+E124</f>
        <v>0</v>
      </c>
      <c r="BO5" s="101">
        <f>+E123</f>
        <v>0</v>
      </c>
      <c r="BP5" s="101">
        <f>+E133</f>
        <v>75.953964000000056</v>
      </c>
      <c r="BQ5" s="101">
        <f>+E132</f>
        <v>76.574999999999989</v>
      </c>
      <c r="BR5" s="101">
        <f>+E130</f>
        <v>3.1086180000000034</v>
      </c>
      <c r="BS5" s="101">
        <f>+E129</f>
        <v>3.149</v>
      </c>
      <c r="BT5" s="101">
        <f>+E135</f>
        <v>55.000551999999963</v>
      </c>
      <c r="BU5" s="101">
        <f>+E134</f>
        <v>55.186999999999998</v>
      </c>
      <c r="BV5" s="101">
        <f>+E194</f>
        <v>64.782790000000006</v>
      </c>
      <c r="BW5" s="101">
        <f>+E193</f>
        <v>65.334999999999994</v>
      </c>
      <c r="BX5" s="101">
        <f>+E191</f>
        <v>1.8986359999999933</v>
      </c>
      <c r="BY5" s="101">
        <f>+E190</f>
        <v>1.913</v>
      </c>
      <c r="BZ5" s="101">
        <f>+E196</f>
        <v>54.950809999999969</v>
      </c>
      <c r="CA5" s="101">
        <f>+E195</f>
        <v>56.851999999999997</v>
      </c>
      <c r="CB5" s="101">
        <f>+E244</f>
        <v>65.876654000000045</v>
      </c>
      <c r="CC5" s="101">
        <f>+E243</f>
        <v>66.450999999999993</v>
      </c>
      <c r="CD5" s="101">
        <f>+E241</f>
        <v>591.36468000000059</v>
      </c>
      <c r="CE5" s="101">
        <f>+E240</f>
        <v>594.99</v>
      </c>
      <c r="CF5" s="101" t="str">
        <f>+E246</f>
        <v>NA</v>
      </c>
      <c r="CG5" s="101" t="str">
        <f>+E245</f>
        <v>NA</v>
      </c>
    </row>
    <row r="6" spans="1:85" ht="14.85" customHeight="1">
      <c r="A6" s="177"/>
      <c r="B6" s="96" t="s">
        <v>150</v>
      </c>
      <c r="C6" s="97"/>
      <c r="D6" s="94"/>
      <c r="E6" s="98">
        <v>9930</v>
      </c>
      <c r="F6" s="94"/>
      <c r="G6" s="98">
        <v>10874</v>
      </c>
      <c r="H6" s="94"/>
      <c r="I6" s="99"/>
      <c r="J6" s="99"/>
      <c r="K6" s="95"/>
      <c r="AP6" s="181" t="s">
        <v>151</v>
      </c>
      <c r="AQ6" s="187" t="s">
        <v>31</v>
      </c>
      <c r="AR6" s="102" t="s">
        <v>152</v>
      </c>
      <c r="AS6" s="103">
        <f>+E11</f>
        <v>53.72038793103448</v>
      </c>
      <c r="AT6" s="104">
        <f>+E10</f>
        <v>58.98</v>
      </c>
      <c r="AU6" s="103">
        <f>+G11</f>
        <v>55.278472727272735</v>
      </c>
      <c r="AV6" s="104">
        <f>+G10</f>
        <v>61.39</v>
      </c>
      <c r="AX6" s="58"/>
      <c r="AY6" s="58"/>
      <c r="AZ6" s="58"/>
      <c r="BA6" s="58"/>
      <c r="BB6" s="58"/>
      <c r="BC6" s="58" t="s">
        <v>107</v>
      </c>
      <c r="BD6" s="101">
        <f>+G11</f>
        <v>55.278472727272735</v>
      </c>
      <c r="BE6" s="101">
        <f>+G10</f>
        <v>61.39</v>
      </c>
      <c r="BF6" s="101">
        <f>+G8</f>
        <v>113.50463636363638</v>
      </c>
      <c r="BG6" s="101">
        <f>+G7</f>
        <v>444.14</v>
      </c>
      <c r="BH6" s="101">
        <f>+G13</f>
        <v>81.921809090909122</v>
      </c>
      <c r="BI6" s="101">
        <f>+G12</f>
        <v>115.009</v>
      </c>
      <c r="BJ6" s="101">
        <f>+G122</f>
        <v>0</v>
      </c>
      <c r="BK6" s="101">
        <f>+G121</f>
        <v>0</v>
      </c>
      <c r="BL6" s="101">
        <f>+G119</f>
        <v>0</v>
      </c>
      <c r="BM6" s="101">
        <f>+G118</f>
        <v>0</v>
      </c>
      <c r="BN6" s="101">
        <f>+G124</f>
        <v>0</v>
      </c>
      <c r="BO6" s="101">
        <f>+G123</f>
        <v>0</v>
      </c>
      <c r="BP6" s="101">
        <f>+G133</f>
        <v>93.716002000000074</v>
      </c>
      <c r="BQ6" s="101">
        <f>+G132</f>
        <v>94.734000000000009</v>
      </c>
      <c r="BR6" s="101">
        <f>+G130</f>
        <v>3.8796379999999986</v>
      </c>
      <c r="BS6" s="101">
        <f>+G129</f>
        <v>3.9159999999999999</v>
      </c>
      <c r="BT6" s="101">
        <f>+G135</f>
        <v>85.002898000000002</v>
      </c>
      <c r="BU6" s="101">
        <f>+G134</f>
        <v>85.742000000000004</v>
      </c>
      <c r="BV6" s="101">
        <f>+G194</f>
        <v>73.303699999999992</v>
      </c>
      <c r="BW6" s="101">
        <f>+G193</f>
        <v>74.941999999999993</v>
      </c>
      <c r="BX6" s="101">
        <f>+G191</f>
        <v>2.7607139999999952</v>
      </c>
      <c r="BY6" s="101">
        <f>+G190</f>
        <v>2.8559999999999999</v>
      </c>
      <c r="BZ6" s="101">
        <f>+G196</f>
        <v>85.005353999999997</v>
      </c>
      <c r="CA6" s="101">
        <f>+G195</f>
        <v>87.075000000000003</v>
      </c>
      <c r="CB6" s="101">
        <f>+G244</f>
        <v>73.674106000000009</v>
      </c>
      <c r="CC6" s="101">
        <f>+G243</f>
        <v>74.197000000000003</v>
      </c>
      <c r="CD6" s="101">
        <f>+G241</f>
        <v>977.25513999999964</v>
      </c>
      <c r="CE6" s="101">
        <f>+G240</f>
        <v>1003.91</v>
      </c>
      <c r="CF6" s="101" t="str">
        <f>+G246</f>
        <v>NA</v>
      </c>
      <c r="CG6" s="101" t="str">
        <f>+G245</f>
        <v>NA</v>
      </c>
    </row>
    <row r="7" spans="1:85" ht="14.85" customHeight="1">
      <c r="A7" s="177"/>
      <c r="B7" s="96" t="s">
        <v>153</v>
      </c>
      <c r="C7" s="97"/>
      <c r="D7" s="94"/>
      <c r="E7" s="98">
        <v>483.04</v>
      </c>
      <c r="F7" s="94"/>
      <c r="G7" s="98">
        <v>444.14</v>
      </c>
      <c r="H7" s="94"/>
      <c r="I7" s="193" t="s">
        <v>154</v>
      </c>
      <c r="J7" s="194"/>
      <c r="K7" s="95"/>
      <c r="AP7" s="182"/>
      <c r="AQ7" s="188"/>
      <c r="AR7" s="105" t="s">
        <v>155</v>
      </c>
      <c r="AS7" s="106">
        <f>+E8</f>
        <v>92.567068965517237</v>
      </c>
      <c r="AT7" s="107">
        <f>+E7</f>
        <v>483.04</v>
      </c>
      <c r="AU7" s="106">
        <f>+G8</f>
        <v>113.50463636363638</v>
      </c>
      <c r="AV7" s="107">
        <f>+G7</f>
        <v>444.14</v>
      </c>
    </row>
    <row r="8" spans="1:85" ht="14.85" customHeight="1">
      <c r="A8" s="177"/>
      <c r="B8" s="96" t="s">
        <v>156</v>
      </c>
      <c r="C8" s="97"/>
      <c r="D8" s="94"/>
      <c r="E8" s="98">
        <v>92.567068965517237</v>
      </c>
      <c r="F8" s="94"/>
      <c r="G8" s="98">
        <v>113.50463636363638</v>
      </c>
      <c r="H8" s="94"/>
      <c r="I8" s="195"/>
      <c r="J8" s="196"/>
      <c r="K8" s="95"/>
      <c r="AP8" s="182"/>
      <c r="AQ8" s="188"/>
      <c r="AR8" s="105" t="s">
        <v>157</v>
      </c>
      <c r="AS8" s="106">
        <f>+E13</f>
        <v>61.06815517241381</v>
      </c>
      <c r="AT8" s="107">
        <f>+E12</f>
        <v>81.018000000000001</v>
      </c>
      <c r="AU8" s="106">
        <f>+G13</f>
        <v>81.921809090909122</v>
      </c>
      <c r="AV8" s="107">
        <f>+G12</f>
        <v>115.009</v>
      </c>
    </row>
    <row r="9" spans="1:85" ht="14.85" customHeight="1">
      <c r="A9" s="177"/>
      <c r="B9" s="96" t="s">
        <v>158</v>
      </c>
      <c r="C9" s="97"/>
      <c r="D9" s="94"/>
      <c r="E9" s="98">
        <v>12.23</v>
      </c>
      <c r="F9" s="94"/>
      <c r="G9" s="98">
        <v>14.49</v>
      </c>
      <c r="H9" s="94"/>
      <c r="I9" s="195"/>
      <c r="J9" s="196"/>
      <c r="K9" s="95"/>
      <c r="AP9" s="183"/>
      <c r="AQ9" s="189"/>
      <c r="AR9" s="108" t="s">
        <v>159</v>
      </c>
      <c r="AS9" s="109">
        <f>+E56</f>
        <v>3842.6666666666665</v>
      </c>
      <c r="AT9" s="110">
        <f>+E55</f>
        <v>4560</v>
      </c>
      <c r="AU9" s="109">
        <f>+G56</f>
        <v>5112.666666666667</v>
      </c>
      <c r="AV9" s="110">
        <f>+G55</f>
        <v>6060</v>
      </c>
    </row>
    <row r="10" spans="1:85" ht="14.85" customHeight="1">
      <c r="A10" s="177"/>
      <c r="B10" s="96" t="s">
        <v>160</v>
      </c>
      <c r="C10" s="97"/>
      <c r="D10" s="94"/>
      <c r="E10" s="98">
        <v>58.98</v>
      </c>
      <c r="F10" s="94"/>
      <c r="G10" s="98">
        <v>61.39</v>
      </c>
      <c r="H10" s="94"/>
      <c r="I10" s="195"/>
      <c r="J10" s="196"/>
      <c r="K10" s="95"/>
      <c r="AP10" s="181" t="s">
        <v>161</v>
      </c>
      <c r="AQ10" s="187" t="s">
        <v>31</v>
      </c>
      <c r="AR10" s="102" t="s">
        <v>152</v>
      </c>
      <c r="AS10" s="103">
        <f>+E133</f>
        <v>75.953964000000056</v>
      </c>
      <c r="AT10" s="104">
        <f>+E132</f>
        <v>76.574999999999989</v>
      </c>
      <c r="AU10" s="103">
        <f>+G133</f>
        <v>93.716002000000074</v>
      </c>
      <c r="AV10" s="104">
        <f>+G132</f>
        <v>94.734000000000009</v>
      </c>
    </row>
    <row r="11" spans="1:85" ht="14.85" customHeight="1">
      <c r="A11" s="177"/>
      <c r="B11" s="96" t="s">
        <v>162</v>
      </c>
      <c r="C11" s="97"/>
      <c r="D11" s="94"/>
      <c r="E11" s="98">
        <v>53.72038793103448</v>
      </c>
      <c r="F11" s="94"/>
      <c r="G11" s="98">
        <v>55.278472727272735</v>
      </c>
      <c r="H11" s="94"/>
      <c r="I11" s="195"/>
      <c r="J11" s="196"/>
      <c r="K11" s="95"/>
      <c r="AP11" s="182"/>
      <c r="AQ11" s="188"/>
      <c r="AR11" s="105" t="s">
        <v>155</v>
      </c>
      <c r="AS11" s="106">
        <f>+E130</f>
        <v>3.1086180000000034</v>
      </c>
      <c r="AT11" s="107">
        <f>+E129</f>
        <v>3.149</v>
      </c>
      <c r="AU11" s="106">
        <f>+G130</f>
        <v>3.8796379999999986</v>
      </c>
      <c r="AV11" s="107">
        <f>+G129</f>
        <v>3.9159999999999999</v>
      </c>
    </row>
    <row r="12" spans="1:85" ht="15.75" customHeight="1">
      <c r="A12" s="177"/>
      <c r="B12" s="96" t="s">
        <v>163</v>
      </c>
      <c r="C12" s="97"/>
      <c r="D12" s="94"/>
      <c r="E12" s="98">
        <v>81.018000000000001</v>
      </c>
      <c r="F12" s="94"/>
      <c r="G12" s="98">
        <v>115.009</v>
      </c>
      <c r="H12" s="94"/>
      <c r="I12" s="195"/>
      <c r="J12" s="196"/>
      <c r="K12" s="95"/>
      <c r="AP12" s="182"/>
      <c r="AQ12" s="188"/>
      <c r="AR12" s="105" t="s">
        <v>157</v>
      </c>
      <c r="AS12" s="106">
        <f>+E135</f>
        <v>55.000551999999963</v>
      </c>
      <c r="AT12" s="107">
        <f>+E134</f>
        <v>55.186999999999998</v>
      </c>
      <c r="AU12" s="106">
        <f>+G135</f>
        <v>85.002898000000002</v>
      </c>
      <c r="AV12" s="107">
        <f>+G134</f>
        <v>85.742000000000004</v>
      </c>
    </row>
    <row r="13" spans="1:85" ht="15.75" customHeight="1">
      <c r="A13" s="177"/>
      <c r="B13" s="96" t="s">
        <v>164</v>
      </c>
      <c r="C13" s="97"/>
      <c r="D13" s="94"/>
      <c r="E13" s="98">
        <v>61.06815517241381</v>
      </c>
      <c r="F13" s="94"/>
      <c r="G13" s="98">
        <v>81.921809090909122</v>
      </c>
      <c r="H13" s="94"/>
      <c r="I13" s="195"/>
      <c r="J13" s="196"/>
      <c r="K13" s="95"/>
      <c r="AP13" s="183"/>
      <c r="AQ13" s="189"/>
      <c r="AR13" s="108" t="s">
        <v>159</v>
      </c>
      <c r="AS13" s="109">
        <f>+E178</f>
        <v>4272.4799999999996</v>
      </c>
      <c r="AT13" s="110">
        <f>+E177</f>
        <v>4320</v>
      </c>
      <c r="AU13" s="109">
        <f>+G178</f>
        <v>5880</v>
      </c>
      <c r="AV13" s="110">
        <f>+G177</f>
        <v>5880</v>
      </c>
    </row>
    <row r="14" spans="1:85" ht="14.85" customHeight="1">
      <c r="A14" s="177"/>
      <c r="B14" s="96" t="s">
        <v>165</v>
      </c>
      <c r="C14" s="97"/>
      <c r="D14" s="94"/>
      <c r="E14" s="98">
        <v>8.92</v>
      </c>
      <c r="F14" s="94"/>
      <c r="G14" s="98">
        <v>13.295</v>
      </c>
      <c r="H14" s="94"/>
      <c r="I14" s="195"/>
      <c r="J14" s="196"/>
      <c r="K14" s="95"/>
      <c r="AP14" s="182" t="s">
        <v>166</v>
      </c>
      <c r="AQ14" s="190" t="s">
        <v>115</v>
      </c>
      <c r="AR14" s="111" t="s">
        <v>152</v>
      </c>
      <c r="AS14" s="112">
        <f>+E122</f>
        <v>0</v>
      </c>
      <c r="AT14" s="113">
        <f>+E121</f>
        <v>0</v>
      </c>
      <c r="AU14" s="112">
        <f>+G122</f>
        <v>0</v>
      </c>
      <c r="AV14" s="113">
        <f>+G121</f>
        <v>0</v>
      </c>
    </row>
    <row r="15" spans="1:85" ht="14.85" customHeight="1">
      <c r="A15" s="177"/>
      <c r="B15" s="205" t="s">
        <v>153</v>
      </c>
      <c r="C15" s="97" t="s">
        <v>167</v>
      </c>
      <c r="D15" s="94"/>
      <c r="E15" s="98">
        <v>4.141</v>
      </c>
      <c r="F15" s="94"/>
      <c r="G15" s="98">
        <v>3</v>
      </c>
      <c r="H15" s="94"/>
      <c r="I15" s="195"/>
      <c r="J15" s="196"/>
      <c r="K15" s="95"/>
      <c r="AP15" s="182"/>
      <c r="AQ15" s="188"/>
      <c r="AR15" s="105" t="s">
        <v>155</v>
      </c>
      <c r="AS15" s="106">
        <f>+E119</f>
        <v>0</v>
      </c>
      <c r="AT15" s="107">
        <f>+E118</f>
        <v>0</v>
      </c>
      <c r="AU15" s="106">
        <f>+G119</f>
        <v>0</v>
      </c>
      <c r="AV15" s="107">
        <f>+G118</f>
        <v>0</v>
      </c>
    </row>
    <row r="16" spans="1:85" ht="14.85" customHeight="1">
      <c r="A16" s="177"/>
      <c r="B16" s="206"/>
      <c r="C16" s="97" t="s">
        <v>168</v>
      </c>
      <c r="D16" s="94"/>
      <c r="E16" s="98">
        <v>4.1390000000000002</v>
      </c>
      <c r="F16" s="94"/>
      <c r="G16" s="98">
        <v>2.6840000000000002</v>
      </c>
      <c r="H16" s="94"/>
      <c r="I16" s="195"/>
      <c r="J16" s="196"/>
      <c r="K16" s="95"/>
      <c r="AP16" s="182"/>
      <c r="AQ16" s="188"/>
      <c r="AR16" s="105" t="s">
        <v>157</v>
      </c>
      <c r="AS16" s="106">
        <f>+E124</f>
        <v>0</v>
      </c>
      <c r="AT16" s="107">
        <f>+E123</f>
        <v>0</v>
      </c>
      <c r="AU16" s="106">
        <f>+G124</f>
        <v>0</v>
      </c>
      <c r="AV16" s="107">
        <f>+G123</f>
        <v>0</v>
      </c>
    </row>
    <row r="17" spans="1:48" ht="14.85" customHeight="1">
      <c r="A17" s="177"/>
      <c r="B17" s="206"/>
      <c r="C17" s="97" t="s">
        <v>169</v>
      </c>
      <c r="D17" s="94"/>
      <c r="E17" s="98">
        <v>4.1180000000000003</v>
      </c>
      <c r="F17" s="94"/>
      <c r="G17" s="98">
        <v>2.8620000000000001</v>
      </c>
      <c r="H17" s="94"/>
      <c r="I17" s="195"/>
      <c r="J17" s="196"/>
      <c r="K17" s="95"/>
      <c r="AP17" s="183"/>
      <c r="AQ17" s="189"/>
      <c r="AR17" s="108" t="s">
        <v>159</v>
      </c>
      <c r="AS17" s="109">
        <f>+E127</f>
        <v>4112.7017543859647</v>
      </c>
      <c r="AT17" s="110">
        <f>+E126</f>
        <v>4336</v>
      </c>
      <c r="AU17" s="109">
        <f>+G127</f>
        <v>5485.9111111111115</v>
      </c>
      <c r="AV17" s="110">
        <f>+G126</f>
        <v>5880</v>
      </c>
    </row>
    <row r="18" spans="1:48" ht="14.85" customHeight="1">
      <c r="A18" s="177"/>
      <c r="B18" s="206"/>
      <c r="C18" s="97" t="s">
        <v>170</v>
      </c>
      <c r="D18" s="94"/>
      <c r="E18" s="98">
        <v>4.1180000000000003</v>
      </c>
      <c r="F18" s="94"/>
      <c r="G18" s="98">
        <v>3.0750000000000002</v>
      </c>
      <c r="H18" s="94"/>
      <c r="I18" s="195"/>
      <c r="J18" s="196"/>
      <c r="K18" s="95"/>
      <c r="AP18" s="184" t="s">
        <v>171</v>
      </c>
      <c r="AQ18" s="187" t="s">
        <v>31</v>
      </c>
      <c r="AR18" s="102" t="s">
        <v>152</v>
      </c>
      <c r="AS18" s="103">
        <f>+E194</f>
        <v>64.782790000000006</v>
      </c>
      <c r="AT18" s="104">
        <f>+E193</f>
        <v>65.334999999999994</v>
      </c>
      <c r="AU18" s="103">
        <f>+G194</f>
        <v>73.303699999999992</v>
      </c>
      <c r="AV18" s="104">
        <f>+G193</f>
        <v>74.941999999999993</v>
      </c>
    </row>
    <row r="19" spans="1:48" ht="14.85" customHeight="1">
      <c r="A19" s="177"/>
      <c r="B19" s="206"/>
      <c r="C19" s="97" t="s">
        <v>172</v>
      </c>
      <c r="D19" s="94"/>
      <c r="E19" s="98">
        <v>4.875</v>
      </c>
      <c r="F19" s="94"/>
      <c r="G19" s="98">
        <v>4.6239999999999997</v>
      </c>
      <c r="H19" s="94"/>
      <c r="I19" s="195"/>
      <c r="J19" s="196"/>
      <c r="K19" s="95"/>
      <c r="AP19" s="185"/>
      <c r="AQ19" s="188"/>
      <c r="AR19" s="105" t="s">
        <v>155</v>
      </c>
      <c r="AS19" s="106">
        <f>+E191</f>
        <v>1.8986359999999933</v>
      </c>
      <c r="AT19" s="107">
        <f>+E190</f>
        <v>1.913</v>
      </c>
      <c r="AU19" s="106">
        <f>+G191</f>
        <v>2.7607139999999952</v>
      </c>
      <c r="AV19" s="107">
        <f>+G190</f>
        <v>2.8559999999999999</v>
      </c>
    </row>
    <row r="20" spans="1:48" ht="14.85" customHeight="1">
      <c r="A20" s="177"/>
      <c r="B20" s="206"/>
      <c r="C20" s="97" t="s">
        <v>173</v>
      </c>
      <c r="D20" s="94"/>
      <c r="E20" s="98">
        <v>4.3390000000000004</v>
      </c>
      <c r="F20" s="94"/>
      <c r="G20" s="98">
        <v>3.05</v>
      </c>
      <c r="H20" s="94"/>
      <c r="I20" s="195"/>
      <c r="J20" s="196"/>
      <c r="K20" s="95"/>
      <c r="AP20" s="185"/>
      <c r="AQ20" s="188"/>
      <c r="AR20" s="105" t="s">
        <v>157</v>
      </c>
      <c r="AS20" s="106">
        <f>+E196</f>
        <v>54.950809999999969</v>
      </c>
      <c r="AT20" s="107">
        <f>+E195</f>
        <v>56.851999999999997</v>
      </c>
      <c r="AU20" s="106">
        <f>+G196</f>
        <v>85.005353999999997</v>
      </c>
      <c r="AV20" s="107">
        <f>+G195</f>
        <v>87.075000000000003</v>
      </c>
    </row>
    <row r="21" spans="1:48" ht="14.85" customHeight="1">
      <c r="A21" s="177"/>
      <c r="B21" s="206"/>
      <c r="C21" s="97" t="s">
        <v>174</v>
      </c>
      <c r="D21" s="94"/>
      <c r="E21" s="98">
        <v>0</v>
      </c>
      <c r="F21" s="94"/>
      <c r="G21" s="98">
        <v>0</v>
      </c>
      <c r="H21" s="94"/>
      <c r="I21" s="195"/>
      <c r="J21" s="196"/>
      <c r="K21" s="95"/>
      <c r="AP21" s="185"/>
      <c r="AQ21" s="191"/>
      <c r="AR21" s="114" t="s">
        <v>159</v>
      </c>
      <c r="AS21" s="115">
        <f>+E239</f>
        <v>4260</v>
      </c>
      <c r="AT21" s="116">
        <f>+E238</f>
        <v>4260</v>
      </c>
      <c r="AU21" s="115">
        <f>+G239</f>
        <v>5880.6</v>
      </c>
      <c r="AV21" s="116">
        <f>+G238</f>
        <v>5940</v>
      </c>
    </row>
    <row r="22" spans="1:48" ht="15.75" customHeight="1">
      <c r="A22" s="177"/>
      <c r="B22" s="207"/>
      <c r="C22" s="97" t="s">
        <v>175</v>
      </c>
      <c r="D22" s="94"/>
      <c r="E22" s="98">
        <v>0</v>
      </c>
      <c r="F22" s="94"/>
      <c r="G22" s="98">
        <v>0</v>
      </c>
      <c r="H22" s="94"/>
      <c r="I22" s="195"/>
      <c r="J22" s="196"/>
      <c r="K22" s="95"/>
      <c r="AP22" s="185"/>
      <c r="AQ22" s="192" t="s">
        <v>115</v>
      </c>
      <c r="AR22" s="117" t="s">
        <v>152</v>
      </c>
      <c r="AS22" s="118">
        <f>+E244</f>
        <v>65.876654000000045</v>
      </c>
      <c r="AT22" s="119">
        <f>+E243</f>
        <v>66.450999999999993</v>
      </c>
      <c r="AU22" s="118">
        <f>+G244</f>
        <v>73.674106000000009</v>
      </c>
      <c r="AV22" s="119">
        <f>+G243</f>
        <v>74.197000000000003</v>
      </c>
    </row>
    <row r="23" spans="1:48" ht="15.75" customHeight="1">
      <c r="A23" s="177"/>
      <c r="B23" s="205" t="s">
        <v>156</v>
      </c>
      <c r="C23" s="97" t="s">
        <v>167</v>
      </c>
      <c r="D23" s="94"/>
      <c r="E23" s="98">
        <v>3.1205344827586226</v>
      </c>
      <c r="F23" s="94"/>
      <c r="G23" s="98">
        <v>0.79811721611721709</v>
      </c>
      <c r="H23" s="94"/>
      <c r="I23" s="195"/>
      <c r="J23" s="196"/>
      <c r="K23" s="95"/>
      <c r="AP23" s="185"/>
      <c r="AQ23" s="188"/>
      <c r="AR23" s="105" t="s">
        <v>155</v>
      </c>
      <c r="AS23" s="106">
        <f>+E241</f>
        <v>591.36468000000059</v>
      </c>
      <c r="AT23" s="107">
        <f>+E240</f>
        <v>594.99</v>
      </c>
      <c r="AU23" s="106">
        <f>+G241</f>
        <v>977.25513999999964</v>
      </c>
      <c r="AV23" s="107">
        <f>+G240</f>
        <v>1003.91</v>
      </c>
    </row>
    <row r="24" spans="1:48" ht="15.75" customHeight="1">
      <c r="A24" s="177"/>
      <c r="B24" s="206"/>
      <c r="C24" s="97" t="s">
        <v>168</v>
      </c>
      <c r="D24" s="94"/>
      <c r="E24" s="98">
        <v>3.1606637931034509</v>
      </c>
      <c r="F24" s="94"/>
      <c r="G24" s="98">
        <v>0.9863186813186815</v>
      </c>
      <c r="H24" s="94"/>
      <c r="I24" s="195"/>
      <c r="J24" s="196"/>
      <c r="K24" s="95"/>
      <c r="AP24" s="185"/>
      <c r="AQ24" s="188"/>
      <c r="AR24" s="105" t="s">
        <v>157</v>
      </c>
      <c r="AS24" s="106" t="str">
        <f>+E246</f>
        <v>NA</v>
      </c>
      <c r="AT24" s="107" t="str">
        <f>+E245</f>
        <v>NA</v>
      </c>
      <c r="AU24" s="106" t="str">
        <f>+G246</f>
        <v>NA</v>
      </c>
      <c r="AV24" s="107" t="str">
        <f>+G245</f>
        <v>NA</v>
      </c>
    </row>
    <row r="25" spans="1:48" ht="15.75" customHeight="1">
      <c r="A25" s="177"/>
      <c r="B25" s="206"/>
      <c r="C25" s="97" t="s">
        <v>169</v>
      </c>
      <c r="D25" s="94"/>
      <c r="E25" s="98">
        <v>3.15009482758621</v>
      </c>
      <c r="F25" s="94"/>
      <c r="G25" s="98">
        <v>0.60171794871794915</v>
      </c>
      <c r="H25" s="94"/>
      <c r="I25" s="195"/>
      <c r="J25" s="196"/>
      <c r="K25" s="95"/>
      <c r="AP25" s="186"/>
      <c r="AQ25" s="189"/>
      <c r="AR25" s="108" t="s">
        <v>159</v>
      </c>
      <c r="AS25" s="109">
        <f>+E249</f>
        <v>4500</v>
      </c>
      <c r="AT25" s="110">
        <f>+E248</f>
        <v>4500</v>
      </c>
      <c r="AU25" s="109">
        <f>+G249</f>
        <v>6113.64</v>
      </c>
      <c r="AV25" s="110">
        <f>+G248</f>
        <v>6120</v>
      </c>
    </row>
    <row r="26" spans="1:48" ht="15.75" customHeight="1">
      <c r="A26" s="177"/>
      <c r="B26" s="206"/>
      <c r="C26" s="97" t="s">
        <v>170</v>
      </c>
      <c r="D26" s="94"/>
      <c r="E26" s="98">
        <v>3.1263793103448303</v>
      </c>
      <c r="F26" s="94"/>
      <c r="G26" s="98">
        <v>0.91948717948717928</v>
      </c>
      <c r="H26" s="94"/>
      <c r="I26" s="195"/>
      <c r="J26" s="196"/>
      <c r="K26" s="95"/>
    </row>
    <row r="27" spans="1:48" ht="15.75" customHeight="1">
      <c r="A27" s="177"/>
      <c r="B27" s="206"/>
      <c r="C27" s="97" t="s">
        <v>172</v>
      </c>
      <c r="D27" s="94"/>
      <c r="E27" s="98">
        <v>3.2865775862068984</v>
      </c>
      <c r="F27" s="94"/>
      <c r="G27" s="98">
        <v>1.1407619047619053</v>
      </c>
      <c r="H27" s="94"/>
      <c r="I27" s="195"/>
      <c r="J27" s="196"/>
      <c r="K27" s="95"/>
    </row>
    <row r="28" spans="1:48" ht="15.75" customHeight="1">
      <c r="A28" s="177"/>
      <c r="B28" s="206"/>
      <c r="C28" s="97" t="s">
        <v>173</v>
      </c>
      <c r="D28" s="94"/>
      <c r="E28" s="98">
        <v>3.3532672413793123</v>
      </c>
      <c r="F28" s="94"/>
      <c r="G28" s="98">
        <v>1.0840439560439554</v>
      </c>
      <c r="H28" s="94"/>
      <c r="I28" s="195"/>
      <c r="J28" s="196"/>
      <c r="K28" s="95"/>
    </row>
    <row r="29" spans="1:48" ht="15.75" customHeight="1">
      <c r="A29" s="177"/>
      <c r="B29" s="206"/>
      <c r="C29" s="97" t="s">
        <v>174</v>
      </c>
      <c r="D29" s="94"/>
      <c r="E29" s="98">
        <v>0</v>
      </c>
      <c r="F29" s="94"/>
      <c r="G29" s="98">
        <v>0</v>
      </c>
      <c r="H29" s="94"/>
      <c r="I29" s="195"/>
      <c r="J29" s="196"/>
      <c r="K29" s="95"/>
    </row>
    <row r="30" spans="1:48" ht="15.75" customHeight="1">
      <c r="A30" s="177"/>
      <c r="B30" s="207"/>
      <c r="C30" s="97" t="s">
        <v>175</v>
      </c>
      <c r="D30" s="94"/>
      <c r="E30" s="98">
        <v>0</v>
      </c>
      <c r="F30" s="94"/>
      <c r="G30" s="98">
        <v>0</v>
      </c>
      <c r="H30" s="94"/>
      <c r="I30" s="197"/>
      <c r="J30" s="198"/>
      <c r="K30" s="95"/>
    </row>
    <row r="31" spans="1:48" ht="15.75" customHeight="1">
      <c r="A31" s="177"/>
      <c r="B31" s="205" t="s">
        <v>158</v>
      </c>
      <c r="C31" s="97" t="s">
        <v>167</v>
      </c>
      <c r="D31" s="94"/>
      <c r="E31" s="98">
        <v>7.0000000000000001E-3</v>
      </c>
      <c r="F31" s="94"/>
      <c r="G31" s="98">
        <v>6.4000000000000001E-2</v>
      </c>
      <c r="H31" s="94"/>
      <c r="I31" s="99"/>
      <c r="J31" s="99"/>
      <c r="K31" s="95"/>
      <c r="AP31" s="70"/>
      <c r="AQ31" s="70"/>
      <c r="AR31" s="70"/>
      <c r="AS31" s="70"/>
      <c r="AT31" s="70"/>
    </row>
    <row r="32" spans="1:48" ht="15.75" customHeight="1">
      <c r="A32" s="177"/>
      <c r="B32" s="206"/>
      <c r="C32" s="97" t="s">
        <v>168</v>
      </c>
      <c r="D32" s="94"/>
      <c r="E32" s="98">
        <v>1.0999999999999999E-2</v>
      </c>
      <c r="F32" s="94"/>
      <c r="G32" s="98">
        <v>5.3999999999999999E-2</v>
      </c>
      <c r="H32" s="94"/>
      <c r="I32" s="99"/>
      <c r="J32" s="99"/>
      <c r="K32" s="95"/>
    </row>
    <row r="33" spans="1:11" ht="15.75" customHeight="1">
      <c r="A33" s="177"/>
      <c r="B33" s="206"/>
      <c r="C33" s="97" t="s">
        <v>169</v>
      </c>
      <c r="D33" s="94"/>
      <c r="E33" s="98">
        <v>6.0000000000000001E-3</v>
      </c>
      <c r="F33" s="94"/>
      <c r="G33" s="98">
        <v>8.0000000000000002E-3</v>
      </c>
      <c r="H33" s="94"/>
      <c r="I33" s="99"/>
      <c r="J33" s="99"/>
      <c r="K33" s="95"/>
    </row>
    <row r="34" spans="1:11" ht="15.75" customHeight="1">
      <c r="A34" s="177"/>
      <c r="B34" s="206"/>
      <c r="C34" s="97" t="s">
        <v>170</v>
      </c>
      <c r="D34" s="94"/>
      <c r="E34" s="98">
        <v>2.7E-2</v>
      </c>
      <c r="F34" s="94"/>
      <c r="G34" s="98">
        <v>7.0000000000000001E-3</v>
      </c>
      <c r="H34" s="94"/>
      <c r="I34" s="99"/>
      <c r="J34" s="99"/>
      <c r="K34" s="95"/>
    </row>
    <row r="35" spans="1:11" ht="15.75" customHeight="1">
      <c r="A35" s="177"/>
      <c r="B35" s="206"/>
      <c r="C35" s="97" t="s">
        <v>172</v>
      </c>
      <c r="D35" s="94"/>
      <c r="E35" s="98">
        <v>9.6000000000000002E-2</v>
      </c>
      <c r="F35" s="94"/>
      <c r="G35" s="98">
        <v>0.35</v>
      </c>
      <c r="H35" s="94"/>
      <c r="I35" s="99"/>
      <c r="J35" s="99"/>
      <c r="K35" s="95"/>
    </row>
    <row r="36" spans="1:11" ht="15.75" customHeight="1">
      <c r="A36" s="177"/>
      <c r="B36" s="206"/>
      <c r="C36" s="97" t="s">
        <v>173</v>
      </c>
      <c r="D36" s="94"/>
      <c r="E36" s="98">
        <v>4.7E-2</v>
      </c>
      <c r="F36" s="94"/>
      <c r="G36" s="98">
        <v>0.107</v>
      </c>
      <c r="H36" s="94"/>
      <c r="I36" s="99"/>
      <c r="J36" s="99"/>
      <c r="K36" s="95"/>
    </row>
    <row r="37" spans="1:11" ht="15.75" customHeight="1">
      <c r="A37" s="177"/>
      <c r="B37" s="206"/>
      <c r="C37" s="97" t="s">
        <v>174</v>
      </c>
      <c r="D37" s="94"/>
      <c r="E37" s="98">
        <v>0</v>
      </c>
      <c r="F37" s="94"/>
      <c r="G37" s="98">
        <v>0</v>
      </c>
      <c r="H37" s="94"/>
      <c r="I37" s="99"/>
      <c r="J37" s="99"/>
      <c r="K37" s="95"/>
    </row>
    <row r="38" spans="1:11" ht="15.75" customHeight="1">
      <c r="A38" s="177"/>
      <c r="B38" s="207"/>
      <c r="C38" s="97" t="s">
        <v>175</v>
      </c>
      <c r="D38" s="94"/>
      <c r="E38" s="98">
        <v>0</v>
      </c>
      <c r="F38" s="94"/>
      <c r="G38" s="98">
        <v>0</v>
      </c>
      <c r="H38" s="94"/>
      <c r="I38" s="99"/>
      <c r="J38" s="99"/>
      <c r="K38" s="95"/>
    </row>
    <row r="39" spans="1:11" ht="15.75" customHeight="1">
      <c r="A39" s="177"/>
      <c r="B39" s="205" t="s">
        <v>160</v>
      </c>
      <c r="C39" s="97" t="s">
        <v>167</v>
      </c>
      <c r="D39" s="94"/>
      <c r="E39" s="98">
        <v>78.195999999999998</v>
      </c>
      <c r="F39" s="94"/>
      <c r="G39" s="98">
        <v>73.501000000000005</v>
      </c>
      <c r="H39" s="94"/>
      <c r="I39" s="99"/>
      <c r="J39" s="99"/>
      <c r="K39" s="95"/>
    </row>
    <row r="40" spans="1:11" ht="15.75" customHeight="1">
      <c r="A40" s="177"/>
      <c r="B40" s="206"/>
      <c r="C40" s="97" t="s">
        <v>168</v>
      </c>
      <c r="D40" s="94"/>
      <c r="E40" s="98">
        <v>75.510999999999996</v>
      </c>
      <c r="F40" s="94"/>
      <c r="G40" s="98">
        <v>73.498999999999995</v>
      </c>
      <c r="H40" s="94"/>
      <c r="I40" s="99"/>
      <c r="J40" s="99"/>
      <c r="K40" s="95"/>
    </row>
    <row r="41" spans="1:11" ht="15.75" customHeight="1">
      <c r="A41" s="177"/>
      <c r="B41" s="206"/>
      <c r="C41" s="97" t="s">
        <v>169</v>
      </c>
      <c r="D41" s="94"/>
      <c r="E41" s="98">
        <v>82.596000000000004</v>
      </c>
      <c r="F41" s="94"/>
      <c r="G41" s="98">
        <v>76.835999999999999</v>
      </c>
      <c r="H41" s="94"/>
      <c r="I41" s="99"/>
      <c r="J41" s="99"/>
      <c r="K41" s="95"/>
    </row>
    <row r="42" spans="1:11" ht="15.75" customHeight="1">
      <c r="A42" s="177"/>
      <c r="B42" s="206"/>
      <c r="C42" s="97" t="s">
        <v>170</v>
      </c>
      <c r="D42" s="94"/>
      <c r="E42" s="98">
        <v>79.537999999999997</v>
      </c>
      <c r="F42" s="94"/>
      <c r="G42" s="98">
        <v>76.974000000000004</v>
      </c>
      <c r="H42" s="94"/>
      <c r="I42" s="99"/>
      <c r="J42" s="99"/>
      <c r="K42" s="95"/>
    </row>
    <row r="43" spans="1:11" ht="15.75" customHeight="1">
      <c r="A43" s="177"/>
      <c r="B43" s="206"/>
      <c r="C43" s="97" t="s">
        <v>172</v>
      </c>
      <c r="D43" s="94"/>
      <c r="E43" s="98">
        <v>79.025999999999996</v>
      </c>
      <c r="F43" s="94"/>
      <c r="G43" s="98">
        <v>78.206000000000003</v>
      </c>
      <c r="H43" s="94"/>
      <c r="I43" s="99"/>
      <c r="J43" s="99"/>
      <c r="K43" s="95"/>
    </row>
    <row r="44" spans="1:11" ht="15.75" customHeight="1">
      <c r="A44" s="177"/>
      <c r="B44" s="206"/>
      <c r="C44" s="97" t="s">
        <v>173</v>
      </c>
      <c r="D44" s="94"/>
      <c r="E44" s="98">
        <v>85.768000000000001</v>
      </c>
      <c r="F44" s="94"/>
      <c r="G44" s="98">
        <v>77.138999999999996</v>
      </c>
      <c r="H44" s="94"/>
      <c r="I44" s="99"/>
      <c r="J44" s="99"/>
      <c r="K44" s="95"/>
    </row>
    <row r="45" spans="1:11" ht="15.75" customHeight="1">
      <c r="A45" s="177"/>
      <c r="B45" s="206"/>
      <c r="C45" s="97" t="s">
        <v>174</v>
      </c>
      <c r="D45" s="94"/>
      <c r="E45" s="98">
        <v>64.888999999999996</v>
      </c>
      <c r="F45" s="94"/>
      <c r="G45" s="98">
        <v>67.680999999999997</v>
      </c>
      <c r="H45" s="94"/>
      <c r="I45" s="99"/>
      <c r="J45" s="99"/>
      <c r="K45" s="95"/>
    </row>
    <row r="46" spans="1:11" ht="15.75" customHeight="1">
      <c r="A46" s="177"/>
      <c r="B46" s="207"/>
      <c r="C46" s="97" t="s">
        <v>175</v>
      </c>
      <c r="D46" s="94"/>
      <c r="E46" s="98">
        <v>65.171999999999997</v>
      </c>
      <c r="F46" s="94"/>
      <c r="G46" s="98">
        <v>67.081999999999994</v>
      </c>
      <c r="H46" s="94"/>
      <c r="I46" s="99"/>
      <c r="J46" s="99"/>
      <c r="K46" s="95"/>
    </row>
    <row r="47" spans="1:11" ht="15.75" customHeight="1">
      <c r="A47" s="177"/>
      <c r="B47" s="205" t="s">
        <v>162</v>
      </c>
      <c r="C47" s="97" t="s">
        <v>167</v>
      </c>
      <c r="D47" s="94"/>
      <c r="E47" s="98">
        <v>68.306715517241386</v>
      </c>
      <c r="F47" s="94"/>
      <c r="G47" s="98">
        <v>62.036798534798599</v>
      </c>
      <c r="H47" s="94"/>
      <c r="I47" s="99"/>
      <c r="J47" s="99"/>
      <c r="K47" s="95"/>
    </row>
    <row r="48" spans="1:11" ht="15.75" customHeight="1">
      <c r="A48" s="177"/>
      <c r="B48" s="206"/>
      <c r="C48" s="97" t="s">
        <v>168</v>
      </c>
      <c r="D48" s="94"/>
      <c r="E48" s="98">
        <v>66.443482758620675</v>
      </c>
      <c r="F48" s="94"/>
      <c r="G48" s="98">
        <v>62.55253846153844</v>
      </c>
      <c r="H48" s="94"/>
      <c r="I48" s="99"/>
      <c r="J48" s="99"/>
      <c r="K48" s="95"/>
    </row>
    <row r="49" spans="1:11" ht="15.75" customHeight="1">
      <c r="A49" s="177"/>
      <c r="B49" s="206"/>
      <c r="C49" s="97" t="s">
        <v>169</v>
      </c>
      <c r="D49" s="94"/>
      <c r="E49" s="98">
        <v>71.557336206896551</v>
      </c>
      <c r="F49" s="94"/>
      <c r="G49" s="98">
        <v>62.374604395604408</v>
      </c>
      <c r="H49" s="94"/>
      <c r="I49" s="99"/>
      <c r="J49" s="99"/>
      <c r="K49" s="95"/>
    </row>
    <row r="50" spans="1:11" ht="15.75" customHeight="1">
      <c r="A50" s="177"/>
      <c r="B50" s="206"/>
      <c r="C50" s="97" t="s">
        <v>170</v>
      </c>
      <c r="D50" s="94"/>
      <c r="E50" s="98">
        <v>69.500310344827568</v>
      </c>
      <c r="F50" s="94"/>
      <c r="G50" s="98">
        <v>62.423992673992657</v>
      </c>
      <c r="H50" s="94"/>
      <c r="I50" s="99"/>
      <c r="J50" s="99"/>
      <c r="K50" s="95"/>
    </row>
    <row r="51" spans="1:11" ht="29.25" customHeight="1">
      <c r="A51" s="177"/>
      <c r="B51" s="206"/>
      <c r="C51" s="97" t="s">
        <v>172</v>
      </c>
      <c r="D51" s="94"/>
      <c r="E51" s="98">
        <v>69.994551724137921</v>
      </c>
      <c r="F51" s="94"/>
      <c r="G51" s="98">
        <v>63.028186813186785</v>
      </c>
      <c r="H51" s="94"/>
      <c r="I51" s="99"/>
      <c r="J51" s="99"/>
      <c r="K51" s="95"/>
    </row>
    <row r="52" spans="1:11" ht="15.75" customHeight="1">
      <c r="A52" s="177"/>
      <c r="B52" s="206"/>
      <c r="C52" s="97" t="s">
        <v>173</v>
      </c>
      <c r="D52" s="94"/>
      <c r="E52" s="98">
        <v>69.658396551724138</v>
      </c>
      <c r="F52" s="94"/>
      <c r="G52" s="98">
        <v>62.321831501831504</v>
      </c>
      <c r="H52" s="94"/>
      <c r="I52" s="99"/>
      <c r="J52" s="99"/>
      <c r="K52" s="95"/>
    </row>
    <row r="53" spans="1:11" ht="15.75" customHeight="1">
      <c r="A53" s="177"/>
      <c r="B53" s="206"/>
      <c r="C53" s="97" t="s">
        <v>174</v>
      </c>
      <c r="D53" s="94"/>
      <c r="E53" s="98">
        <v>58.987491379310342</v>
      </c>
      <c r="F53" s="94"/>
      <c r="G53" s="98">
        <v>60.1344761904762</v>
      </c>
      <c r="H53" s="94"/>
      <c r="I53" s="99"/>
      <c r="J53" s="99"/>
      <c r="K53" s="95"/>
    </row>
    <row r="54" spans="1:11" ht="15.75" customHeight="1">
      <c r="A54" s="177"/>
      <c r="B54" s="207"/>
      <c r="C54" s="97" t="s">
        <v>175</v>
      </c>
      <c r="D54" s="94"/>
      <c r="E54" s="98">
        <v>59.027810344827579</v>
      </c>
      <c r="F54" s="94"/>
      <c r="G54" s="98">
        <v>59.69080952380952</v>
      </c>
      <c r="H54" s="94"/>
      <c r="I54" s="99"/>
      <c r="J54" s="99"/>
      <c r="K54" s="95"/>
    </row>
    <row r="55" spans="1:11" ht="15.75" customHeight="1">
      <c r="A55" s="177"/>
      <c r="B55" s="96" t="s">
        <v>176</v>
      </c>
      <c r="C55" s="97"/>
      <c r="D55" s="94"/>
      <c r="E55" s="98">
        <v>4560</v>
      </c>
      <c r="F55" s="94"/>
      <c r="G55" s="98">
        <v>6060</v>
      </c>
      <c r="H55" s="94"/>
      <c r="I55" s="99"/>
      <c r="J55" s="99"/>
      <c r="K55" s="95"/>
    </row>
    <row r="56" spans="1:11" ht="15.75" customHeight="1">
      <c r="A56" s="177"/>
      <c r="B56" s="96" t="s">
        <v>177</v>
      </c>
      <c r="C56" s="97"/>
      <c r="D56" s="94"/>
      <c r="E56" s="98">
        <v>3842.6666666666665</v>
      </c>
      <c r="F56" s="94"/>
      <c r="G56" s="98">
        <v>5112.666666666667</v>
      </c>
      <c r="H56" s="94"/>
      <c r="I56" s="99"/>
      <c r="J56" s="99"/>
      <c r="K56" s="95"/>
    </row>
    <row r="57" spans="1:11" ht="15.75" customHeight="1">
      <c r="A57" s="177"/>
      <c r="B57" s="96" t="s">
        <v>178</v>
      </c>
      <c r="C57" s="97"/>
      <c r="D57" s="94"/>
      <c r="E57" s="98"/>
      <c r="F57" s="94"/>
      <c r="G57" s="98"/>
      <c r="H57" s="94"/>
      <c r="I57" s="99"/>
      <c r="J57" s="99"/>
      <c r="K57" s="95"/>
    </row>
    <row r="58" spans="1:11" ht="15.75" customHeight="1">
      <c r="A58" s="177"/>
      <c r="B58" s="96" t="s">
        <v>179</v>
      </c>
      <c r="C58" s="97"/>
      <c r="D58" s="94"/>
      <c r="E58" s="98"/>
      <c r="F58" s="94"/>
      <c r="G58" s="98"/>
      <c r="H58" s="94"/>
      <c r="I58" s="99"/>
      <c r="J58" s="99"/>
      <c r="K58" s="95"/>
    </row>
    <row r="59" spans="1:11" ht="15.6" customHeight="1">
      <c r="A59" s="177"/>
      <c r="B59" s="96" t="s">
        <v>180</v>
      </c>
      <c r="C59" s="97"/>
      <c r="D59" s="94"/>
      <c r="E59" s="98"/>
      <c r="F59" s="94"/>
      <c r="G59" s="98"/>
      <c r="H59" s="94"/>
      <c r="I59" s="99"/>
      <c r="J59" s="99"/>
      <c r="K59" s="95"/>
    </row>
    <row r="60" spans="1:11" ht="15.75" customHeight="1">
      <c r="A60" s="177"/>
      <c r="B60" s="96" t="s">
        <v>181</v>
      </c>
      <c r="C60" s="97"/>
      <c r="D60" s="94"/>
      <c r="E60" s="98"/>
      <c r="F60" s="94"/>
      <c r="G60" s="98"/>
      <c r="H60" s="94"/>
      <c r="I60" s="99"/>
      <c r="J60" s="99"/>
      <c r="K60" s="95"/>
    </row>
    <row r="61" spans="1:11" ht="15.75" customHeight="1">
      <c r="A61" s="177"/>
      <c r="B61" s="96" t="s">
        <v>182</v>
      </c>
      <c r="C61" s="97"/>
      <c r="D61" s="94"/>
      <c r="E61" s="98"/>
      <c r="F61" s="94"/>
      <c r="G61" s="98"/>
      <c r="H61" s="94"/>
      <c r="I61" s="99"/>
      <c r="J61" s="99"/>
      <c r="K61" s="95"/>
    </row>
    <row r="62" spans="1:11" ht="15.75" customHeight="1">
      <c r="A62" s="177"/>
      <c r="B62" s="96" t="s">
        <v>183</v>
      </c>
      <c r="C62" s="97"/>
      <c r="D62" s="94"/>
      <c r="E62" s="98"/>
      <c r="F62" s="94"/>
      <c r="G62" s="98"/>
      <c r="H62" s="94"/>
      <c r="I62" s="99"/>
      <c r="J62" s="99"/>
      <c r="K62" s="95"/>
    </row>
    <row r="63" spans="1:11" ht="15.75" customHeight="1">
      <c r="A63" s="177"/>
      <c r="B63" s="96" t="s">
        <v>184</v>
      </c>
      <c r="C63" s="97"/>
      <c r="D63" s="94"/>
      <c r="E63" s="98"/>
      <c r="F63" s="94"/>
      <c r="G63" s="98"/>
      <c r="H63" s="94"/>
      <c r="I63" s="99"/>
      <c r="J63" s="99"/>
      <c r="K63" s="95"/>
    </row>
    <row r="64" spans="1:11" ht="15.75" customHeight="1">
      <c r="A64" s="177"/>
      <c r="B64" s="96" t="s">
        <v>185</v>
      </c>
      <c r="C64" s="97"/>
      <c r="D64" s="94"/>
      <c r="E64" s="98"/>
      <c r="F64" s="94"/>
      <c r="G64" s="98"/>
      <c r="H64" s="94"/>
      <c r="I64" s="99"/>
      <c r="J64" s="99"/>
      <c r="K64" s="95"/>
    </row>
    <row r="65" spans="1:11" ht="15.75" customHeight="1">
      <c r="A65" s="177"/>
      <c r="B65" s="96" t="s">
        <v>186</v>
      </c>
      <c r="C65" s="97"/>
      <c r="D65" s="94"/>
      <c r="E65" s="98">
        <v>4200</v>
      </c>
      <c r="F65" s="94"/>
      <c r="G65" s="98">
        <v>5836</v>
      </c>
      <c r="H65" s="94"/>
      <c r="I65" s="99"/>
      <c r="J65" s="99"/>
      <c r="K65" s="95"/>
    </row>
    <row r="66" spans="1:11" ht="15.75" customHeight="1">
      <c r="A66" s="177"/>
      <c r="B66" s="96" t="s">
        <v>187</v>
      </c>
      <c r="C66" s="97"/>
      <c r="D66" s="94"/>
      <c r="E66" s="98">
        <v>3725.3333333333335</v>
      </c>
      <c r="F66" s="94"/>
      <c r="G66" s="98">
        <v>5248</v>
      </c>
      <c r="H66" s="94"/>
      <c r="I66" s="99"/>
      <c r="J66" s="99"/>
      <c r="K66" s="95"/>
    </row>
    <row r="67" spans="1:11" ht="8.1" customHeight="1">
      <c r="A67" s="88"/>
      <c r="B67" s="88"/>
      <c r="C67" s="88"/>
      <c r="D67" s="88"/>
      <c r="E67" s="88"/>
      <c r="F67" s="88"/>
      <c r="G67" s="88"/>
      <c r="H67" s="94"/>
      <c r="I67" s="95"/>
      <c r="J67" s="95"/>
      <c r="K67" s="95"/>
    </row>
    <row r="68" spans="1:11" ht="15.75" customHeight="1">
      <c r="A68" s="176" t="s">
        <v>188</v>
      </c>
      <c r="B68" s="96" t="s">
        <v>153</v>
      </c>
      <c r="C68" s="97"/>
      <c r="D68" s="94"/>
      <c r="E68" s="98">
        <v>2713.35</v>
      </c>
      <c r="F68" s="94"/>
      <c r="G68" s="98">
        <v>2896.5</v>
      </c>
      <c r="H68" s="94"/>
      <c r="I68" s="99"/>
      <c r="J68" s="99"/>
      <c r="K68" s="95"/>
    </row>
    <row r="69" spans="1:11" ht="15.75" customHeight="1">
      <c r="A69" s="178"/>
      <c r="B69" s="96" t="s">
        <v>156</v>
      </c>
      <c r="C69" s="97"/>
      <c r="D69" s="94"/>
      <c r="E69" s="98">
        <v>2440.6066167290887</v>
      </c>
      <c r="F69" s="94"/>
      <c r="G69" s="98">
        <v>233.24558256240113</v>
      </c>
      <c r="H69" s="94"/>
      <c r="I69" s="99"/>
      <c r="J69" s="99"/>
      <c r="K69" s="95"/>
    </row>
    <row r="70" spans="1:11" ht="15.75" customHeight="1">
      <c r="A70" s="178"/>
      <c r="B70" s="96" t="s">
        <v>158</v>
      </c>
      <c r="C70" s="97"/>
      <c r="D70" s="94"/>
      <c r="E70" s="98">
        <v>8.3800000000000008</v>
      </c>
      <c r="F70" s="94"/>
      <c r="G70" s="98">
        <v>9.68</v>
      </c>
      <c r="H70" s="94"/>
      <c r="I70" s="99"/>
      <c r="J70" s="99"/>
      <c r="K70" s="95"/>
    </row>
    <row r="71" spans="1:11" ht="15.75" customHeight="1">
      <c r="A71" s="178"/>
      <c r="B71" s="96" t="s">
        <v>160</v>
      </c>
      <c r="C71" s="97"/>
      <c r="D71" s="94"/>
      <c r="E71" s="98">
        <v>73.201999999999998</v>
      </c>
      <c r="F71" s="94"/>
      <c r="G71" s="98">
        <v>82.328000000000003</v>
      </c>
      <c r="H71" s="94"/>
      <c r="I71" s="99"/>
      <c r="J71" s="99"/>
      <c r="K71" s="95"/>
    </row>
    <row r="72" spans="1:11" ht="15.75" customHeight="1">
      <c r="A72" s="178"/>
      <c r="B72" s="96" t="s">
        <v>162</v>
      </c>
      <c r="C72" s="97"/>
      <c r="D72" s="94"/>
      <c r="E72" s="98">
        <v>67.725192259675325</v>
      </c>
      <c r="F72" s="94"/>
      <c r="G72" s="98">
        <v>5.4503921206743229</v>
      </c>
      <c r="H72" s="94"/>
      <c r="I72" s="99"/>
      <c r="J72" s="99"/>
      <c r="K72" s="95"/>
    </row>
    <row r="73" spans="1:11" ht="15.75" customHeight="1">
      <c r="A73" s="178"/>
      <c r="B73" s="96" t="s">
        <v>163</v>
      </c>
      <c r="C73" s="97"/>
      <c r="D73" s="94"/>
      <c r="E73" s="98">
        <v>81.054000000000002</v>
      </c>
      <c r="F73" s="94"/>
      <c r="G73" s="98">
        <v>111.559</v>
      </c>
      <c r="H73" s="94"/>
      <c r="I73" s="99"/>
      <c r="J73" s="99"/>
      <c r="K73" s="95"/>
    </row>
    <row r="74" spans="1:11" ht="15.75" customHeight="1">
      <c r="A74" s="178"/>
      <c r="B74" s="96" t="s">
        <v>164</v>
      </c>
      <c r="C74" s="97"/>
      <c r="D74" s="94"/>
      <c r="E74" s="98">
        <v>69.021408239700293</v>
      </c>
      <c r="F74" s="94"/>
      <c r="G74" s="98">
        <v>5.773442314725461</v>
      </c>
      <c r="H74" s="94"/>
      <c r="I74" s="99"/>
      <c r="J74" s="99"/>
      <c r="K74" s="95"/>
    </row>
    <row r="75" spans="1:11" ht="15.75" customHeight="1">
      <c r="A75" s="178"/>
      <c r="B75" s="96" t="s">
        <v>165</v>
      </c>
      <c r="C75" s="97"/>
      <c r="D75" s="94"/>
      <c r="E75" s="98">
        <v>5.7949999999999999</v>
      </c>
      <c r="F75" s="94"/>
      <c r="G75" s="98">
        <v>6.1130000000000004</v>
      </c>
      <c r="H75" s="94"/>
      <c r="I75" s="99"/>
      <c r="J75" s="99"/>
      <c r="K75" s="95"/>
    </row>
    <row r="76" spans="1:11" ht="15.75" customHeight="1">
      <c r="A76" s="178"/>
      <c r="B76" s="205" t="s">
        <v>153</v>
      </c>
      <c r="C76" s="97" t="s">
        <v>167</v>
      </c>
      <c r="D76" s="94"/>
      <c r="E76" s="98">
        <v>2.593</v>
      </c>
      <c r="F76" s="94"/>
      <c r="G76" s="98">
        <v>3</v>
      </c>
      <c r="H76" s="94"/>
      <c r="I76" s="99"/>
      <c r="J76" s="99"/>
      <c r="K76" s="95"/>
    </row>
    <row r="77" spans="1:11" ht="15.75" customHeight="1">
      <c r="A77" s="178"/>
      <c r="B77" s="206"/>
      <c r="C77" s="97" t="s">
        <v>168</v>
      </c>
      <c r="D77" s="94"/>
      <c r="E77" s="98">
        <v>3.4020000000000001</v>
      </c>
      <c r="F77" s="94"/>
      <c r="G77" s="98">
        <v>2.6840000000000002</v>
      </c>
      <c r="H77" s="94"/>
      <c r="I77" s="99"/>
      <c r="J77" s="99"/>
      <c r="K77" s="95"/>
    </row>
    <row r="78" spans="1:11" ht="15.75" customHeight="1">
      <c r="A78" s="178"/>
      <c r="B78" s="206"/>
      <c r="C78" s="97" t="s">
        <v>169</v>
      </c>
      <c r="D78" s="94"/>
      <c r="E78" s="98">
        <v>2.9830000000000001</v>
      </c>
      <c r="F78" s="94"/>
      <c r="G78" s="98">
        <v>2.8620000000000001</v>
      </c>
      <c r="H78" s="94"/>
      <c r="I78" s="99"/>
      <c r="J78" s="99"/>
      <c r="K78" s="95"/>
    </row>
    <row r="79" spans="1:11" ht="15.75" customHeight="1">
      <c r="A79" s="178"/>
      <c r="B79" s="206"/>
      <c r="C79" s="97" t="s">
        <v>170</v>
      </c>
      <c r="D79" s="94"/>
      <c r="E79" s="98">
        <v>2.8959999999999999</v>
      </c>
      <c r="F79" s="94"/>
      <c r="G79" s="98">
        <v>3.0750000000000002</v>
      </c>
      <c r="H79" s="94"/>
      <c r="I79" s="99"/>
      <c r="J79" s="99"/>
      <c r="K79" s="95"/>
    </row>
    <row r="80" spans="1:11" ht="15.75" customHeight="1">
      <c r="A80" s="178"/>
      <c r="B80" s="206"/>
      <c r="C80" s="97" t="s">
        <v>172</v>
      </c>
      <c r="D80" s="94"/>
      <c r="E80" s="98">
        <v>4.6669999999999998</v>
      </c>
      <c r="F80" s="94"/>
      <c r="G80" s="98">
        <v>4.6239999999999997</v>
      </c>
      <c r="H80" s="94"/>
      <c r="I80" s="99"/>
      <c r="J80" s="99"/>
      <c r="K80" s="95"/>
    </row>
    <row r="81" spans="1:11" ht="15.75" customHeight="1">
      <c r="A81" s="178"/>
      <c r="B81" s="206"/>
      <c r="C81" s="97" t="s">
        <v>173</v>
      </c>
      <c r="D81" s="94"/>
      <c r="E81" s="98">
        <v>3.831</v>
      </c>
      <c r="F81" s="94"/>
      <c r="G81" s="98">
        <v>3.4529999999999998</v>
      </c>
      <c r="H81" s="94"/>
      <c r="I81" s="99"/>
      <c r="J81" s="99"/>
      <c r="K81" s="95"/>
    </row>
    <row r="82" spans="1:11" ht="15.75" customHeight="1">
      <c r="A82" s="178"/>
      <c r="B82" s="206"/>
      <c r="C82" s="97" t="s">
        <v>174</v>
      </c>
      <c r="D82" s="94"/>
      <c r="E82" s="98">
        <v>0</v>
      </c>
      <c r="F82" s="94"/>
      <c r="G82" s="98">
        <v>0</v>
      </c>
      <c r="H82" s="94"/>
      <c r="I82" s="99"/>
      <c r="J82" s="99"/>
      <c r="K82" s="95"/>
    </row>
    <row r="83" spans="1:11" ht="15.75" customHeight="1">
      <c r="A83" s="178"/>
      <c r="B83" s="207"/>
      <c r="C83" s="97" t="s">
        <v>175</v>
      </c>
      <c r="D83" s="94"/>
      <c r="E83" s="98">
        <v>0</v>
      </c>
      <c r="F83" s="94"/>
      <c r="G83" s="98">
        <v>0</v>
      </c>
      <c r="H83" s="94"/>
      <c r="I83" s="99"/>
      <c r="J83" s="99"/>
      <c r="K83" s="95"/>
    </row>
    <row r="84" spans="1:11" ht="15.75" customHeight="1">
      <c r="A84" s="178"/>
      <c r="B84" s="205" t="s">
        <v>156</v>
      </c>
      <c r="C84" s="97" t="s">
        <v>167</v>
      </c>
      <c r="D84" s="94"/>
      <c r="E84" s="98">
        <v>0.39887890137328352</v>
      </c>
      <c r="F84" s="94"/>
      <c r="G84" s="98">
        <v>0.32949570155472369</v>
      </c>
      <c r="H84" s="94"/>
      <c r="I84" s="99"/>
      <c r="J84" s="99"/>
      <c r="K84" s="95"/>
    </row>
    <row r="85" spans="1:11" ht="15.75" customHeight="1">
      <c r="A85" s="178"/>
      <c r="B85" s="206"/>
      <c r="C85" s="97" t="s">
        <v>168</v>
      </c>
      <c r="D85" s="94"/>
      <c r="E85" s="98">
        <v>0.67181148564294646</v>
      </c>
      <c r="F85" s="94"/>
      <c r="G85" s="98">
        <v>0.27769727711122233</v>
      </c>
      <c r="H85" s="94"/>
      <c r="I85" s="99"/>
      <c r="J85" s="99"/>
      <c r="K85" s="95"/>
    </row>
    <row r="86" spans="1:11" ht="15.75" customHeight="1">
      <c r="A86" s="178"/>
      <c r="B86" s="206"/>
      <c r="C86" s="97" t="s">
        <v>169</v>
      </c>
      <c r="D86" s="94"/>
      <c r="E86" s="98">
        <v>0.43657802746566837</v>
      </c>
      <c r="F86" s="94"/>
      <c r="G86" s="98">
        <v>0.25964723274565027</v>
      </c>
      <c r="H86" s="94"/>
      <c r="I86" s="99"/>
      <c r="J86" s="99"/>
      <c r="K86" s="95"/>
    </row>
    <row r="87" spans="1:11" ht="15.75" customHeight="1">
      <c r="A87" s="178"/>
      <c r="B87" s="206"/>
      <c r="C87" s="97" t="s">
        <v>170</v>
      </c>
      <c r="D87" s="94"/>
      <c r="E87" s="98">
        <v>0.76978526841448203</v>
      </c>
      <c r="F87" s="94"/>
      <c r="G87" s="98">
        <v>0.5415838833378348</v>
      </c>
      <c r="H87" s="94"/>
      <c r="I87" s="99"/>
      <c r="J87" s="99"/>
      <c r="K87" s="95"/>
    </row>
    <row r="88" spans="1:11" ht="15.75" customHeight="1">
      <c r="A88" s="178"/>
      <c r="B88" s="206"/>
      <c r="C88" s="97" t="s">
        <v>172</v>
      </c>
      <c r="D88" s="94"/>
      <c r="E88" s="98">
        <v>0.77196629213483137</v>
      </c>
      <c r="F88" s="94"/>
      <c r="G88" s="98">
        <v>0.41606301608734153</v>
      </c>
      <c r="H88" s="94"/>
      <c r="I88" s="99"/>
      <c r="J88" s="99"/>
      <c r="K88" s="95"/>
    </row>
    <row r="89" spans="1:11" ht="15.75" customHeight="1">
      <c r="A89" s="178"/>
      <c r="B89" s="206"/>
      <c r="C89" s="97" t="s">
        <v>173</v>
      </c>
      <c r="D89" s="94"/>
      <c r="E89" s="98">
        <v>0.86875655430711574</v>
      </c>
      <c r="F89" s="94"/>
      <c r="G89" s="98">
        <v>0.34919751552795109</v>
      </c>
      <c r="H89" s="94"/>
      <c r="I89" s="99"/>
      <c r="J89" s="99"/>
      <c r="K89" s="95"/>
    </row>
    <row r="90" spans="1:11" ht="15.75" customHeight="1">
      <c r="A90" s="178"/>
      <c r="B90" s="206"/>
      <c r="C90" s="97" t="s">
        <v>174</v>
      </c>
      <c r="D90" s="94"/>
      <c r="E90" s="98">
        <v>0</v>
      </c>
      <c r="F90" s="94"/>
      <c r="G90" s="98">
        <v>0</v>
      </c>
      <c r="H90" s="94"/>
      <c r="I90" s="99"/>
      <c r="J90" s="99"/>
      <c r="K90" s="95"/>
    </row>
    <row r="91" spans="1:11" ht="15.75" customHeight="1">
      <c r="A91" s="178"/>
      <c r="B91" s="207"/>
      <c r="C91" s="97" t="s">
        <v>175</v>
      </c>
      <c r="D91" s="94"/>
      <c r="E91" s="98">
        <v>0</v>
      </c>
      <c r="F91" s="94"/>
      <c r="G91" s="98">
        <v>0</v>
      </c>
      <c r="H91" s="94"/>
      <c r="I91" s="99"/>
      <c r="J91" s="99"/>
      <c r="K91" s="95"/>
    </row>
    <row r="92" spans="1:11" ht="15.75" customHeight="1">
      <c r="A92" s="178"/>
      <c r="B92" s="205" t="s">
        <v>158</v>
      </c>
      <c r="C92" s="97" t="s">
        <v>167</v>
      </c>
      <c r="D92" s="94"/>
      <c r="E92" s="98">
        <v>6.0000000000000001E-3</v>
      </c>
      <c r="F92" s="94"/>
      <c r="G92" s="98">
        <v>1.4999999999999999E-2</v>
      </c>
      <c r="H92" s="94"/>
      <c r="I92" s="99"/>
      <c r="J92" s="99"/>
      <c r="K92" s="95"/>
    </row>
    <row r="93" spans="1:11" ht="15.75" customHeight="1">
      <c r="A93" s="178"/>
      <c r="B93" s="206"/>
      <c r="C93" s="97" t="s">
        <v>168</v>
      </c>
      <c r="D93" s="94"/>
      <c r="E93" s="98">
        <v>0.128</v>
      </c>
      <c r="F93" s="94"/>
      <c r="G93" s="98">
        <v>5.3999999999999999E-2</v>
      </c>
      <c r="H93" s="94"/>
      <c r="I93" s="99"/>
      <c r="J93" s="99"/>
      <c r="K93" s="95"/>
    </row>
    <row r="94" spans="1:11" ht="15.75" customHeight="1">
      <c r="A94" s="178"/>
      <c r="B94" s="206"/>
      <c r="C94" s="97" t="s">
        <v>169</v>
      </c>
      <c r="D94" s="94"/>
      <c r="E94" s="98">
        <v>4.0000000000000001E-3</v>
      </c>
      <c r="F94" s="94"/>
      <c r="G94" s="98">
        <v>8.0000000000000002E-3</v>
      </c>
      <c r="H94" s="94"/>
      <c r="I94" s="99"/>
      <c r="J94" s="99"/>
      <c r="K94" s="95"/>
    </row>
    <row r="95" spans="1:11" ht="15.75" customHeight="1">
      <c r="A95" s="178"/>
      <c r="B95" s="206"/>
      <c r="C95" s="97" t="s">
        <v>170</v>
      </c>
      <c r="D95" s="94"/>
      <c r="E95" s="98">
        <v>1.4E-2</v>
      </c>
      <c r="F95" s="94"/>
      <c r="G95" s="98">
        <v>0</v>
      </c>
      <c r="H95" s="94"/>
      <c r="I95" s="99"/>
      <c r="J95" s="99"/>
      <c r="K95" s="95"/>
    </row>
    <row r="96" spans="1:11" ht="15.75" customHeight="1">
      <c r="A96" s="178"/>
      <c r="B96" s="206"/>
      <c r="C96" s="97" t="s">
        <v>172</v>
      </c>
      <c r="D96" s="94"/>
      <c r="E96" s="98">
        <v>7.9000000000000001E-2</v>
      </c>
      <c r="F96" s="94"/>
      <c r="G96" s="98">
        <v>0.157</v>
      </c>
      <c r="H96" s="94"/>
      <c r="I96" s="99"/>
      <c r="J96" s="99"/>
      <c r="K96" s="95"/>
    </row>
    <row r="97" spans="1:11" ht="15.75" customHeight="1">
      <c r="A97" s="178"/>
      <c r="B97" s="206"/>
      <c r="C97" s="97" t="s">
        <v>173</v>
      </c>
      <c r="D97" s="94"/>
      <c r="E97" s="98">
        <v>3.6999999999999998E-2</v>
      </c>
      <c r="F97" s="94"/>
      <c r="G97" s="98">
        <v>4.8000000000000001E-2</v>
      </c>
      <c r="H97" s="94"/>
      <c r="I97" s="99"/>
      <c r="J97" s="99"/>
      <c r="K97" s="95"/>
    </row>
    <row r="98" spans="1:11" ht="15.75" customHeight="1">
      <c r="A98" s="178"/>
      <c r="B98" s="206"/>
      <c r="C98" s="97" t="s">
        <v>174</v>
      </c>
      <c r="D98" s="94"/>
      <c r="E98" s="98">
        <v>0</v>
      </c>
      <c r="F98" s="94"/>
      <c r="G98" s="98">
        <v>0</v>
      </c>
      <c r="H98" s="94"/>
      <c r="I98" s="99"/>
      <c r="J98" s="99"/>
      <c r="K98" s="95"/>
    </row>
    <row r="99" spans="1:11" ht="15.75" customHeight="1">
      <c r="A99" s="178"/>
      <c r="B99" s="207"/>
      <c r="C99" s="97" t="s">
        <v>175</v>
      </c>
      <c r="D99" s="94"/>
      <c r="E99" s="98">
        <v>0</v>
      </c>
      <c r="F99" s="94"/>
      <c r="G99" s="98">
        <v>0</v>
      </c>
      <c r="H99" s="94"/>
      <c r="I99" s="99"/>
      <c r="J99" s="99"/>
      <c r="K99" s="95"/>
    </row>
    <row r="100" spans="1:11" ht="15.75" customHeight="1">
      <c r="A100" s="178"/>
      <c r="B100" s="205" t="s">
        <v>160</v>
      </c>
      <c r="C100" s="97" t="s">
        <v>167</v>
      </c>
      <c r="D100" s="94"/>
      <c r="E100" s="98">
        <v>71.254999999999995</v>
      </c>
      <c r="F100" s="94"/>
      <c r="G100" s="98">
        <v>73.501000000000005</v>
      </c>
      <c r="H100" s="94"/>
      <c r="I100" s="99"/>
      <c r="J100" s="99"/>
      <c r="K100" s="95"/>
    </row>
    <row r="101" spans="1:11" ht="15.75" customHeight="1">
      <c r="A101" s="178"/>
      <c r="B101" s="206"/>
      <c r="C101" s="97" t="s">
        <v>168</v>
      </c>
      <c r="D101" s="94"/>
      <c r="E101" s="98">
        <v>69.567999999999998</v>
      </c>
      <c r="F101" s="94"/>
      <c r="G101" s="98">
        <v>73.498999999999995</v>
      </c>
      <c r="H101" s="94"/>
      <c r="I101" s="99"/>
      <c r="J101" s="99"/>
      <c r="K101" s="95"/>
    </row>
    <row r="102" spans="1:11" ht="15.75" customHeight="1">
      <c r="A102" s="178"/>
      <c r="B102" s="206"/>
      <c r="C102" s="97" t="s">
        <v>169</v>
      </c>
      <c r="D102" s="94"/>
      <c r="E102" s="98">
        <v>71.664000000000001</v>
      </c>
      <c r="F102" s="94"/>
      <c r="G102" s="98">
        <v>76.835999999999999</v>
      </c>
      <c r="H102" s="94"/>
      <c r="I102" s="99"/>
      <c r="J102" s="99"/>
      <c r="K102" s="95"/>
    </row>
    <row r="103" spans="1:11" ht="15.75" customHeight="1">
      <c r="A103" s="178"/>
      <c r="B103" s="206"/>
      <c r="C103" s="97" t="s">
        <v>170</v>
      </c>
      <c r="D103" s="94"/>
      <c r="E103" s="98">
        <v>72.927999999999997</v>
      </c>
      <c r="F103" s="94"/>
      <c r="G103" s="98">
        <v>76.974000000000004</v>
      </c>
      <c r="H103" s="94"/>
      <c r="I103" s="99"/>
      <c r="J103" s="99"/>
      <c r="K103" s="95"/>
    </row>
    <row r="104" spans="1:11" ht="15.75" customHeight="1">
      <c r="A104" s="178"/>
      <c r="B104" s="206"/>
      <c r="C104" s="97" t="s">
        <v>172</v>
      </c>
      <c r="D104" s="94"/>
      <c r="E104" s="98">
        <v>70.402000000000001</v>
      </c>
      <c r="F104" s="94"/>
      <c r="G104" s="98">
        <v>78.206000000000003</v>
      </c>
      <c r="H104" s="94"/>
      <c r="I104" s="99"/>
      <c r="J104" s="99"/>
      <c r="K104" s="95"/>
    </row>
    <row r="105" spans="1:11" ht="15.75" customHeight="1">
      <c r="A105" s="178"/>
      <c r="B105" s="206"/>
      <c r="C105" s="97" t="s">
        <v>173</v>
      </c>
      <c r="D105" s="94"/>
      <c r="E105" s="98">
        <v>71.807000000000002</v>
      </c>
      <c r="F105" s="94"/>
      <c r="G105" s="98">
        <v>77.138999999999996</v>
      </c>
      <c r="H105" s="94"/>
      <c r="I105" s="99"/>
      <c r="J105" s="99"/>
      <c r="K105" s="95"/>
    </row>
    <row r="106" spans="1:11" ht="15.75" customHeight="1">
      <c r="A106" s="178"/>
      <c r="B106" s="206"/>
      <c r="C106" s="97" t="s">
        <v>174</v>
      </c>
      <c r="D106" s="94"/>
      <c r="E106" s="98">
        <v>64.034000000000006</v>
      </c>
      <c r="F106" s="94"/>
      <c r="G106" s="98">
        <v>67.680999999999997</v>
      </c>
      <c r="H106" s="94"/>
      <c r="I106" s="99"/>
      <c r="J106" s="99"/>
      <c r="K106" s="95"/>
    </row>
    <row r="107" spans="1:11" ht="15.75" customHeight="1">
      <c r="A107" s="178"/>
      <c r="B107" s="207"/>
      <c r="C107" s="97" t="s">
        <v>175</v>
      </c>
      <c r="D107" s="94"/>
      <c r="E107" s="98">
        <v>63.594999999999999</v>
      </c>
      <c r="F107" s="94"/>
      <c r="G107" s="98">
        <v>67.081999999999994</v>
      </c>
      <c r="H107" s="94"/>
      <c r="I107" s="99"/>
      <c r="J107" s="99"/>
      <c r="K107" s="95"/>
    </row>
    <row r="108" spans="1:11" ht="15.75" customHeight="1">
      <c r="A108" s="178"/>
      <c r="B108" s="205" t="s">
        <v>162</v>
      </c>
      <c r="C108" s="97" t="s">
        <v>167</v>
      </c>
      <c r="D108" s="94"/>
      <c r="E108" s="98">
        <v>56.719767790262182</v>
      </c>
      <c r="F108" s="94"/>
      <c r="G108" s="98">
        <v>3.2859425978936012</v>
      </c>
      <c r="H108" s="94"/>
      <c r="I108" s="99"/>
      <c r="J108" s="99"/>
      <c r="K108" s="95"/>
    </row>
    <row r="109" spans="1:11" ht="15.75" customHeight="1">
      <c r="A109" s="178"/>
      <c r="B109" s="206"/>
      <c r="C109" s="97" t="s">
        <v>168</v>
      </c>
      <c r="D109" s="94"/>
      <c r="E109" s="98">
        <v>57.077091136079957</v>
      </c>
      <c r="F109" s="94"/>
      <c r="G109" s="98">
        <v>3.3649446826897598</v>
      </c>
      <c r="H109" s="94"/>
      <c r="I109" s="99"/>
      <c r="J109" s="99"/>
      <c r="K109" s="95"/>
    </row>
    <row r="110" spans="1:11" ht="15.75" customHeight="1">
      <c r="A110" s="178"/>
      <c r="B110" s="206"/>
      <c r="C110" s="97" t="s">
        <v>169</v>
      </c>
      <c r="D110" s="94"/>
      <c r="E110" s="98">
        <v>56.998895131086101</v>
      </c>
      <c r="F110" s="94"/>
      <c r="G110" s="98">
        <v>3.1518350310558749</v>
      </c>
      <c r="H110" s="94"/>
      <c r="I110" s="99"/>
      <c r="J110" s="99"/>
      <c r="K110" s="95"/>
    </row>
    <row r="111" spans="1:11" ht="15.75" customHeight="1">
      <c r="A111" s="178"/>
      <c r="B111" s="206"/>
      <c r="C111" s="97" t="s">
        <v>170</v>
      </c>
      <c r="D111" s="94"/>
      <c r="E111" s="98">
        <v>57.076378277153637</v>
      </c>
      <c r="F111" s="94"/>
      <c r="G111" s="98">
        <v>3.4504158635854929</v>
      </c>
      <c r="H111" s="94"/>
      <c r="I111" s="99"/>
      <c r="J111" s="99"/>
      <c r="K111" s="95"/>
    </row>
    <row r="112" spans="1:11" ht="15.75" customHeight="1">
      <c r="A112" s="178"/>
      <c r="B112" s="206"/>
      <c r="C112" s="97" t="s">
        <v>172</v>
      </c>
      <c r="D112" s="94"/>
      <c r="E112" s="98">
        <v>57.226149812733986</v>
      </c>
      <c r="F112" s="94"/>
      <c r="G112" s="98">
        <v>2.7909276802592675</v>
      </c>
      <c r="H112" s="94"/>
      <c r="I112" s="99"/>
      <c r="J112" s="99"/>
      <c r="K112" s="95"/>
    </row>
    <row r="113" spans="1:11" ht="15.75" customHeight="1">
      <c r="A113" s="178"/>
      <c r="B113" s="206"/>
      <c r="C113" s="97" t="s">
        <v>173</v>
      </c>
      <c r="D113" s="94"/>
      <c r="E113" s="98">
        <v>56.892133583021163</v>
      </c>
      <c r="F113" s="94"/>
      <c r="G113" s="98">
        <v>3.1681267852320687</v>
      </c>
      <c r="H113" s="94"/>
      <c r="I113" s="99"/>
      <c r="J113" s="99"/>
      <c r="K113" s="95"/>
    </row>
    <row r="114" spans="1:11" ht="15.75" customHeight="1">
      <c r="A114" s="178"/>
      <c r="B114" s="206"/>
      <c r="C114" s="97" t="s">
        <v>174</v>
      </c>
      <c r="D114" s="94"/>
      <c r="E114" s="98">
        <v>55.888566791510584</v>
      </c>
      <c r="F114" s="94"/>
      <c r="G114" s="98">
        <v>3.643799884263728</v>
      </c>
      <c r="H114" s="94"/>
      <c r="I114" s="99"/>
      <c r="J114" s="99"/>
      <c r="K114" s="95"/>
    </row>
    <row r="115" spans="1:11" ht="15.75" customHeight="1">
      <c r="A115" s="178"/>
      <c r="B115" s="207"/>
      <c r="C115" s="97" t="s">
        <v>175</v>
      </c>
      <c r="D115" s="94"/>
      <c r="E115" s="98">
        <v>55.585390761548084</v>
      </c>
      <c r="F115" s="94"/>
      <c r="G115" s="98">
        <v>3.7480674140658028</v>
      </c>
      <c r="H115" s="94"/>
      <c r="I115" s="99"/>
      <c r="J115" s="99"/>
      <c r="K115" s="95"/>
    </row>
    <row r="116" spans="1:11" ht="15.75" customHeight="1">
      <c r="A116" s="178"/>
      <c r="B116" s="96" t="s">
        <v>176</v>
      </c>
      <c r="C116" s="97"/>
      <c r="D116" s="94"/>
      <c r="E116" s="98">
        <v>4576</v>
      </c>
      <c r="F116" s="94"/>
      <c r="G116" s="98">
        <v>6120</v>
      </c>
      <c r="H116" s="94"/>
      <c r="I116" s="99"/>
      <c r="J116" s="99"/>
      <c r="K116" s="95"/>
    </row>
    <row r="117" spans="1:11" ht="15.75" customHeight="1">
      <c r="A117" s="178"/>
      <c r="B117" s="96" t="s">
        <v>177</v>
      </c>
      <c r="C117" s="97"/>
      <c r="D117" s="94"/>
      <c r="E117" s="98">
        <v>4358.4561403508769</v>
      </c>
      <c r="F117" s="94"/>
      <c r="G117" s="98">
        <v>5607.9111111111115</v>
      </c>
      <c r="H117" s="94"/>
      <c r="I117" s="99"/>
      <c r="J117" s="99"/>
      <c r="K117" s="95"/>
    </row>
    <row r="118" spans="1:11" ht="15.75" customHeight="1">
      <c r="A118" s="178"/>
      <c r="B118" s="96" t="s">
        <v>178</v>
      </c>
      <c r="C118" s="97"/>
      <c r="D118" s="94"/>
      <c r="E118" s="98"/>
      <c r="F118" s="94"/>
      <c r="G118" s="98"/>
      <c r="H118" s="94"/>
      <c r="I118" s="99"/>
      <c r="J118" s="99"/>
      <c r="K118" s="95"/>
    </row>
    <row r="119" spans="1:11" ht="15.75" customHeight="1">
      <c r="A119" s="178"/>
      <c r="B119" s="96" t="s">
        <v>179</v>
      </c>
      <c r="C119" s="97"/>
      <c r="D119" s="94"/>
      <c r="E119" s="98"/>
      <c r="F119" s="94"/>
      <c r="G119" s="98"/>
      <c r="H119" s="94"/>
      <c r="I119" s="99"/>
      <c r="J119" s="99"/>
      <c r="K119" s="95"/>
    </row>
    <row r="120" spans="1:11" ht="15.75" customHeight="1">
      <c r="A120" s="178"/>
      <c r="B120" s="96" t="s">
        <v>180</v>
      </c>
      <c r="C120" s="97"/>
      <c r="D120" s="94"/>
      <c r="E120" s="98"/>
      <c r="F120" s="94"/>
      <c r="G120" s="98"/>
      <c r="H120" s="94"/>
      <c r="I120" s="99"/>
      <c r="J120" s="99"/>
      <c r="K120" s="95"/>
    </row>
    <row r="121" spans="1:11" ht="15.75" customHeight="1">
      <c r="A121" s="178"/>
      <c r="B121" s="96" t="s">
        <v>181</v>
      </c>
      <c r="C121" s="97"/>
      <c r="D121" s="94"/>
      <c r="E121" s="98"/>
      <c r="F121" s="94"/>
      <c r="G121" s="98"/>
      <c r="H121" s="94"/>
      <c r="I121" s="99"/>
      <c r="J121" s="99"/>
      <c r="K121" s="95"/>
    </row>
    <row r="122" spans="1:11" ht="15.75" customHeight="1">
      <c r="A122" s="178"/>
      <c r="B122" s="96" t="s">
        <v>182</v>
      </c>
      <c r="C122" s="97"/>
      <c r="D122" s="94"/>
      <c r="E122" s="98"/>
      <c r="F122" s="94"/>
      <c r="G122" s="98"/>
      <c r="H122" s="94"/>
      <c r="I122" s="99"/>
      <c r="J122" s="99"/>
      <c r="K122" s="95"/>
    </row>
    <row r="123" spans="1:11" ht="15.75" customHeight="1">
      <c r="A123" s="178"/>
      <c r="B123" s="96" t="s">
        <v>183</v>
      </c>
      <c r="C123" s="97"/>
      <c r="D123" s="94"/>
      <c r="E123" s="98"/>
      <c r="F123" s="94"/>
      <c r="G123" s="98"/>
      <c r="H123" s="94"/>
      <c r="I123" s="99"/>
      <c r="J123" s="99"/>
      <c r="K123" s="95"/>
    </row>
    <row r="124" spans="1:11" ht="15.75" customHeight="1">
      <c r="A124" s="178"/>
      <c r="B124" s="96" t="s">
        <v>184</v>
      </c>
      <c r="C124" s="97"/>
      <c r="D124" s="94"/>
      <c r="E124" s="98"/>
      <c r="F124" s="94"/>
      <c r="G124" s="98"/>
      <c r="H124" s="94"/>
      <c r="I124" s="99"/>
      <c r="J124" s="99"/>
      <c r="K124" s="95"/>
    </row>
    <row r="125" spans="1:11" ht="15.75" customHeight="1">
      <c r="A125" s="178"/>
      <c r="B125" s="96" t="s">
        <v>185</v>
      </c>
      <c r="C125" s="97"/>
      <c r="D125" s="94"/>
      <c r="E125" s="98"/>
      <c r="F125" s="94"/>
      <c r="G125" s="98"/>
      <c r="H125" s="94"/>
      <c r="I125" s="99"/>
      <c r="J125" s="99"/>
      <c r="K125" s="95"/>
    </row>
    <row r="126" spans="1:11" ht="15.75" customHeight="1">
      <c r="A126" s="178"/>
      <c r="B126" s="96" t="s">
        <v>186</v>
      </c>
      <c r="C126" s="97"/>
      <c r="D126" s="94"/>
      <c r="E126" s="98">
        <v>4336</v>
      </c>
      <c r="F126" s="94"/>
      <c r="G126" s="98">
        <v>5880</v>
      </c>
      <c r="H126" s="94"/>
      <c r="I126" s="99"/>
      <c r="J126" s="99"/>
      <c r="K126" s="95"/>
    </row>
    <row r="127" spans="1:11" ht="15.75" customHeight="1">
      <c r="A127" s="178"/>
      <c r="B127" s="96" t="s">
        <v>187</v>
      </c>
      <c r="C127" s="97"/>
      <c r="D127" s="94"/>
      <c r="E127" s="98">
        <v>4112.7017543859647</v>
      </c>
      <c r="F127" s="94"/>
      <c r="G127" s="98">
        <v>5485.9111111111115</v>
      </c>
      <c r="H127" s="94"/>
      <c r="I127" s="99"/>
      <c r="J127" s="99"/>
      <c r="K127" s="95"/>
    </row>
    <row r="128" spans="1:11" ht="8.1" customHeight="1">
      <c r="A128" s="88"/>
      <c r="B128" s="88"/>
      <c r="C128" s="88"/>
      <c r="D128" s="88"/>
      <c r="E128" s="88"/>
      <c r="F128" s="88"/>
      <c r="G128" s="88"/>
      <c r="H128" s="94"/>
      <c r="I128" s="95"/>
      <c r="J128" s="95"/>
      <c r="K128" s="95"/>
    </row>
    <row r="129" spans="1:11" ht="15.75" customHeight="1">
      <c r="A129" s="179" t="s">
        <v>189</v>
      </c>
      <c r="B129" s="96" t="s">
        <v>153</v>
      </c>
      <c r="C129" s="97"/>
      <c r="D129" s="94"/>
      <c r="E129" s="98">
        <v>3.149</v>
      </c>
      <c r="F129" s="94"/>
      <c r="G129" s="98">
        <v>3.9159999999999999</v>
      </c>
      <c r="H129" s="94"/>
      <c r="I129" s="99"/>
      <c r="J129" s="99"/>
      <c r="K129" s="95"/>
    </row>
    <row r="130" spans="1:11" ht="15.75" customHeight="1">
      <c r="A130" s="180"/>
      <c r="B130" s="96" t="s">
        <v>156</v>
      </c>
      <c r="C130" s="97"/>
      <c r="D130" s="94"/>
      <c r="E130" s="98">
        <v>3.1086180000000034</v>
      </c>
      <c r="F130" s="94"/>
      <c r="G130" s="98">
        <v>3.8796379999999986</v>
      </c>
      <c r="H130" s="94"/>
      <c r="I130" s="99"/>
      <c r="J130" s="99"/>
      <c r="K130" s="95"/>
    </row>
    <row r="131" spans="1:11" ht="15.75" customHeight="1">
      <c r="A131" s="180"/>
      <c r="B131" s="96" t="s">
        <v>158</v>
      </c>
      <c r="C131" s="97"/>
      <c r="D131" s="94"/>
      <c r="E131" s="98">
        <v>3.0590000000000002</v>
      </c>
      <c r="F131" s="94"/>
      <c r="G131" s="98">
        <v>3.847</v>
      </c>
      <c r="H131" s="94"/>
      <c r="I131" s="99"/>
      <c r="J131" s="99"/>
      <c r="K131" s="95"/>
    </row>
    <row r="132" spans="1:11" ht="15.75" customHeight="1">
      <c r="A132" s="180"/>
      <c r="B132" s="96" t="s">
        <v>160</v>
      </c>
      <c r="C132" s="97"/>
      <c r="D132" s="94"/>
      <c r="E132" s="98">
        <v>76.574999999999989</v>
      </c>
      <c r="F132" s="94"/>
      <c r="G132" s="98">
        <v>94.734000000000009</v>
      </c>
      <c r="H132" s="94"/>
      <c r="I132" s="99"/>
      <c r="J132" s="99"/>
      <c r="K132" s="95"/>
    </row>
    <row r="133" spans="1:11" ht="15.75" customHeight="1">
      <c r="A133" s="180"/>
      <c r="B133" s="96" t="s">
        <v>162</v>
      </c>
      <c r="C133" s="97"/>
      <c r="D133" s="94"/>
      <c r="E133" s="98">
        <v>75.953964000000056</v>
      </c>
      <c r="F133" s="94"/>
      <c r="G133" s="98">
        <v>93.716002000000074</v>
      </c>
      <c r="H133" s="94"/>
      <c r="I133" s="99"/>
      <c r="J133" s="99"/>
      <c r="K133" s="95"/>
    </row>
    <row r="134" spans="1:11" ht="15.75" customHeight="1">
      <c r="A134" s="180"/>
      <c r="B134" s="96" t="s">
        <v>163</v>
      </c>
      <c r="C134" s="97"/>
      <c r="D134" s="94"/>
      <c r="E134" s="98">
        <v>55.186999999999998</v>
      </c>
      <c r="F134" s="94"/>
      <c r="G134" s="98">
        <v>85.742000000000004</v>
      </c>
      <c r="H134" s="94"/>
      <c r="I134" s="99"/>
      <c r="J134" s="99"/>
      <c r="K134" s="95"/>
    </row>
    <row r="135" spans="1:11" ht="15.75" customHeight="1">
      <c r="A135" s="180"/>
      <c r="B135" s="96" t="s">
        <v>164</v>
      </c>
      <c r="C135" s="97"/>
      <c r="D135" s="94"/>
      <c r="E135" s="98">
        <v>55.000551999999963</v>
      </c>
      <c r="F135" s="94"/>
      <c r="G135" s="98">
        <v>85.002898000000002</v>
      </c>
      <c r="H135" s="94"/>
      <c r="I135" s="99"/>
      <c r="J135" s="99"/>
      <c r="K135" s="95"/>
    </row>
    <row r="136" spans="1:11" ht="15.75" customHeight="1">
      <c r="A136" s="180"/>
      <c r="B136" s="96" t="s">
        <v>165</v>
      </c>
      <c r="C136" s="97"/>
      <c r="D136" s="94"/>
      <c r="E136" s="98">
        <v>54.823999999999998</v>
      </c>
      <c r="F136" s="94"/>
      <c r="G136" s="98">
        <v>84.372</v>
      </c>
      <c r="H136" s="94"/>
      <c r="I136" s="99"/>
      <c r="J136" s="99"/>
      <c r="K136" s="95"/>
    </row>
    <row r="137" spans="1:11" ht="15.75" customHeight="1">
      <c r="A137" s="180"/>
      <c r="B137" s="205" t="s">
        <v>153</v>
      </c>
      <c r="C137" s="97" t="s">
        <v>167</v>
      </c>
      <c r="D137" s="94"/>
      <c r="E137" s="98">
        <v>3.149</v>
      </c>
      <c r="F137" s="94"/>
      <c r="G137" s="98">
        <v>3.9159999999999999</v>
      </c>
      <c r="H137" s="94"/>
      <c r="I137" s="99"/>
      <c r="J137" s="99"/>
      <c r="K137" s="95"/>
    </row>
    <row r="138" spans="1:11" ht="15.75" customHeight="1">
      <c r="A138" s="180"/>
      <c r="B138" s="206"/>
      <c r="C138" s="97" t="s">
        <v>168</v>
      </c>
      <c r="D138" s="94"/>
      <c r="E138" s="98">
        <v>3.149</v>
      </c>
      <c r="F138" s="94"/>
      <c r="G138" s="98">
        <v>3.9159999999999999</v>
      </c>
      <c r="H138" s="94"/>
      <c r="I138" s="99"/>
      <c r="J138" s="99"/>
      <c r="K138" s="95"/>
    </row>
    <row r="139" spans="1:11" ht="15.75" customHeight="1">
      <c r="A139" s="180"/>
      <c r="B139" s="206"/>
      <c r="C139" s="97" t="s">
        <v>169</v>
      </c>
      <c r="D139" s="94"/>
      <c r="E139" s="98">
        <v>3.149</v>
      </c>
      <c r="F139" s="94"/>
      <c r="G139" s="98">
        <v>3.9159999999999999</v>
      </c>
      <c r="H139" s="94"/>
      <c r="I139" s="99"/>
      <c r="J139" s="99"/>
      <c r="K139" s="95"/>
    </row>
    <row r="140" spans="1:11" ht="15.75" customHeight="1">
      <c r="A140" s="180"/>
      <c r="B140" s="206"/>
      <c r="C140" s="97" t="s">
        <v>170</v>
      </c>
      <c r="D140" s="94"/>
      <c r="E140" s="98">
        <v>3.149</v>
      </c>
      <c r="F140" s="94"/>
      <c r="G140" s="98">
        <v>3.9159999999999999</v>
      </c>
      <c r="H140" s="94"/>
      <c r="I140" s="99"/>
      <c r="J140" s="99"/>
      <c r="K140" s="95"/>
    </row>
    <row r="141" spans="1:11" ht="15.75" customHeight="1">
      <c r="A141" s="180"/>
      <c r="B141" s="206"/>
      <c r="C141" s="97" t="s">
        <v>172</v>
      </c>
      <c r="D141" s="94"/>
      <c r="E141" s="98">
        <v>3.149</v>
      </c>
      <c r="F141" s="94"/>
      <c r="G141" s="98">
        <v>3.9159999999999999</v>
      </c>
      <c r="H141" s="94"/>
      <c r="I141" s="99"/>
      <c r="J141" s="99"/>
      <c r="K141" s="95"/>
    </row>
    <row r="142" spans="1:11" ht="15.75" customHeight="1">
      <c r="A142" s="180"/>
      <c r="B142" s="206"/>
      <c r="C142" s="97" t="s">
        <v>173</v>
      </c>
      <c r="D142" s="94"/>
      <c r="E142" s="98">
        <v>3.149</v>
      </c>
      <c r="F142" s="94"/>
      <c r="G142" s="98">
        <v>3.9159999999999999</v>
      </c>
      <c r="H142" s="94"/>
      <c r="I142" s="99"/>
      <c r="J142" s="99"/>
      <c r="K142" s="95"/>
    </row>
    <row r="143" spans="1:11" ht="15.75" customHeight="1">
      <c r="A143" s="180"/>
      <c r="B143" s="206"/>
      <c r="C143" s="97" t="s">
        <v>174</v>
      </c>
      <c r="D143" s="94"/>
      <c r="E143" s="98">
        <v>3.149</v>
      </c>
      <c r="F143" s="94"/>
      <c r="G143" s="98">
        <v>3.9159999999999999</v>
      </c>
      <c r="H143" s="94"/>
      <c r="I143" s="99"/>
      <c r="J143" s="99"/>
      <c r="K143" s="95"/>
    </row>
    <row r="144" spans="1:11" ht="15.75" customHeight="1">
      <c r="A144" s="180"/>
      <c r="B144" s="207"/>
      <c r="C144" s="97" t="s">
        <v>175</v>
      </c>
      <c r="D144" s="94"/>
      <c r="E144" s="98">
        <v>3.149</v>
      </c>
      <c r="F144" s="94"/>
      <c r="G144" s="98">
        <v>3.9159999999999999</v>
      </c>
      <c r="H144" s="94"/>
      <c r="I144" s="99"/>
      <c r="J144" s="99"/>
      <c r="K144" s="95"/>
    </row>
    <row r="145" spans="1:11" ht="15.75" customHeight="1">
      <c r="A145" s="180"/>
      <c r="B145" s="205" t="s">
        <v>156</v>
      </c>
      <c r="C145" s="97" t="s">
        <v>167</v>
      </c>
      <c r="D145" s="94"/>
      <c r="E145" s="98">
        <v>3.1086180000000034</v>
      </c>
      <c r="F145" s="94"/>
      <c r="G145" s="98">
        <v>3.8796239999999975</v>
      </c>
      <c r="H145" s="94"/>
      <c r="I145" s="99"/>
      <c r="J145" s="99"/>
      <c r="K145" s="95"/>
    </row>
    <row r="146" spans="1:11" ht="15.75" customHeight="1">
      <c r="A146" s="180"/>
      <c r="B146" s="206"/>
      <c r="C146" s="97" t="s">
        <v>168</v>
      </c>
      <c r="D146" s="94"/>
      <c r="E146" s="98">
        <v>3.1086180000000034</v>
      </c>
      <c r="F146" s="94"/>
      <c r="G146" s="98">
        <v>3.8798499999999971</v>
      </c>
      <c r="H146" s="94"/>
      <c r="I146" s="99"/>
      <c r="J146" s="99"/>
      <c r="K146" s="95"/>
    </row>
    <row r="147" spans="1:11" ht="15.75" customHeight="1">
      <c r="A147" s="180"/>
      <c r="B147" s="206"/>
      <c r="C147" s="97" t="s">
        <v>169</v>
      </c>
      <c r="D147" s="94"/>
      <c r="E147" s="98">
        <v>3.1086200000000037</v>
      </c>
      <c r="F147" s="94"/>
      <c r="G147" s="98">
        <v>3.8796379999999986</v>
      </c>
      <c r="H147" s="94"/>
      <c r="I147" s="99"/>
      <c r="J147" s="99"/>
      <c r="K147" s="95"/>
    </row>
    <row r="148" spans="1:11" ht="15.75" customHeight="1">
      <c r="A148" s="180"/>
      <c r="B148" s="206"/>
      <c r="C148" s="97" t="s">
        <v>170</v>
      </c>
      <c r="D148" s="94"/>
      <c r="E148" s="98">
        <v>3.1086180000000034</v>
      </c>
      <c r="F148" s="94"/>
      <c r="G148" s="98">
        <v>3.8797719999999996</v>
      </c>
      <c r="H148" s="94"/>
      <c r="I148" s="99"/>
      <c r="J148" s="99"/>
      <c r="K148" s="95"/>
    </row>
    <row r="149" spans="1:11" ht="15.75" customHeight="1">
      <c r="A149" s="180"/>
      <c r="B149" s="206"/>
      <c r="C149" s="97" t="s">
        <v>172</v>
      </c>
      <c r="D149" s="94"/>
      <c r="E149" s="98">
        <v>3.1086200000000037</v>
      </c>
      <c r="F149" s="94"/>
      <c r="G149" s="98">
        <v>3.879717999999996</v>
      </c>
      <c r="H149" s="94"/>
      <c r="I149" s="99"/>
      <c r="J149" s="99"/>
      <c r="K149" s="95"/>
    </row>
    <row r="150" spans="1:11" ht="15.75" customHeight="1">
      <c r="A150" s="180"/>
      <c r="B150" s="206"/>
      <c r="C150" s="97" t="s">
        <v>173</v>
      </c>
      <c r="D150" s="94"/>
      <c r="E150" s="98">
        <v>3.1086180000000034</v>
      </c>
      <c r="F150" s="94"/>
      <c r="G150" s="98">
        <v>3.8798599999999994</v>
      </c>
      <c r="H150" s="94"/>
      <c r="I150" s="99"/>
      <c r="J150" s="99"/>
      <c r="K150" s="95"/>
    </row>
    <row r="151" spans="1:11" ht="15.75" customHeight="1">
      <c r="A151" s="180"/>
      <c r="B151" s="206"/>
      <c r="C151" s="97" t="s">
        <v>174</v>
      </c>
      <c r="D151" s="94"/>
      <c r="E151" s="98">
        <v>3.1086180000000034</v>
      </c>
      <c r="F151" s="94"/>
      <c r="G151" s="98">
        <v>3.8797839999999986</v>
      </c>
      <c r="H151" s="94"/>
      <c r="I151" s="99"/>
      <c r="J151" s="99"/>
      <c r="K151" s="95"/>
    </row>
    <row r="152" spans="1:11" ht="15.75" customHeight="1">
      <c r="A152" s="180"/>
      <c r="B152" s="207"/>
      <c r="C152" s="97" t="s">
        <v>175</v>
      </c>
      <c r="D152" s="94"/>
      <c r="E152" s="98">
        <v>3.1086240000000034</v>
      </c>
      <c r="F152" s="94"/>
      <c r="G152" s="98">
        <v>3.8798799999999996</v>
      </c>
      <c r="H152" s="94"/>
      <c r="I152" s="99"/>
      <c r="J152" s="99"/>
      <c r="K152" s="95"/>
    </row>
    <row r="153" spans="1:11" ht="15.75" customHeight="1">
      <c r="A153" s="180"/>
      <c r="B153" s="205" t="s">
        <v>158</v>
      </c>
      <c r="C153" s="97" t="s">
        <v>167</v>
      </c>
      <c r="D153" s="94"/>
      <c r="E153" s="143">
        <v>3.0590000000000002</v>
      </c>
      <c r="F153" s="144"/>
      <c r="G153" s="98">
        <v>3.847</v>
      </c>
      <c r="H153" s="94"/>
      <c r="I153" s="99"/>
      <c r="J153" s="99"/>
      <c r="K153" s="95"/>
    </row>
    <row r="154" spans="1:11" ht="15.75" customHeight="1">
      <c r="A154" s="180"/>
      <c r="B154" s="206"/>
      <c r="C154" s="97" t="s">
        <v>168</v>
      </c>
      <c r="D154" s="94"/>
      <c r="E154" s="143">
        <v>3.0590000000000002</v>
      </c>
      <c r="F154" s="144"/>
      <c r="G154" s="98">
        <v>3.847</v>
      </c>
      <c r="H154" s="94"/>
      <c r="I154" s="99"/>
      <c r="J154" s="99"/>
      <c r="K154" s="95"/>
    </row>
    <row r="155" spans="1:11" ht="15.75" customHeight="1">
      <c r="A155" s="180"/>
      <c r="B155" s="206"/>
      <c r="C155" s="97" t="s">
        <v>169</v>
      </c>
      <c r="D155" s="94"/>
      <c r="E155" s="143">
        <v>3.0590000000000002</v>
      </c>
      <c r="F155" s="144"/>
      <c r="G155" s="98">
        <v>3.8460000000000001</v>
      </c>
      <c r="H155" s="94"/>
      <c r="I155" s="99"/>
      <c r="J155" s="99"/>
      <c r="K155" s="95"/>
    </row>
    <row r="156" spans="1:11" ht="15.75" customHeight="1">
      <c r="A156" s="180"/>
      <c r="B156" s="206"/>
      <c r="C156" s="97" t="s">
        <v>170</v>
      </c>
      <c r="D156" s="94"/>
      <c r="E156" s="143">
        <v>3.0590000000000002</v>
      </c>
      <c r="F156" s="144"/>
      <c r="G156" s="98">
        <v>3.847</v>
      </c>
      <c r="H156" s="94"/>
      <c r="I156" s="99"/>
      <c r="J156" s="99"/>
      <c r="K156" s="95"/>
    </row>
    <row r="157" spans="1:11" ht="15.75" customHeight="1">
      <c r="A157" s="180"/>
      <c r="B157" s="206"/>
      <c r="C157" s="97" t="s">
        <v>172</v>
      </c>
      <c r="D157" s="94"/>
      <c r="E157" s="143">
        <v>3.0590000000000002</v>
      </c>
      <c r="F157" s="144"/>
      <c r="G157" s="98">
        <v>3.847</v>
      </c>
      <c r="H157" s="94"/>
      <c r="I157" s="99"/>
      <c r="J157" s="99"/>
      <c r="K157" s="95"/>
    </row>
    <row r="158" spans="1:11" ht="15.75" customHeight="1">
      <c r="A158" s="180"/>
      <c r="B158" s="206"/>
      <c r="C158" s="97" t="s">
        <v>173</v>
      </c>
      <c r="D158" s="94"/>
      <c r="E158" s="143">
        <v>3.0590000000000002</v>
      </c>
      <c r="F158" s="144"/>
      <c r="G158" s="98">
        <v>3.847</v>
      </c>
      <c r="H158" s="94"/>
      <c r="I158" s="99"/>
      <c r="J158" s="99"/>
      <c r="K158" s="95"/>
    </row>
    <row r="159" spans="1:11" ht="15.75" customHeight="1">
      <c r="A159" s="180"/>
      <c r="B159" s="206"/>
      <c r="C159" s="97" t="s">
        <v>174</v>
      </c>
      <c r="D159" s="94"/>
      <c r="E159" s="143">
        <v>3.0590000000000002</v>
      </c>
      <c r="F159" s="144"/>
      <c r="G159" s="98">
        <v>3.8460000000000001</v>
      </c>
      <c r="H159" s="94"/>
      <c r="I159" s="99"/>
      <c r="J159" s="99"/>
      <c r="K159" s="95"/>
    </row>
    <row r="160" spans="1:11" ht="15.75" customHeight="1">
      <c r="A160" s="180"/>
      <c r="B160" s="207"/>
      <c r="C160" s="97" t="s">
        <v>175</v>
      </c>
      <c r="D160" s="94"/>
      <c r="E160" s="143">
        <v>3.0590000000000002</v>
      </c>
      <c r="F160" s="144"/>
      <c r="G160" s="98">
        <v>3.8460000000000001</v>
      </c>
      <c r="H160" s="94"/>
      <c r="I160" s="99"/>
      <c r="J160" s="99"/>
      <c r="K160" s="95"/>
    </row>
    <row r="161" spans="1:11" ht="15.75" customHeight="1">
      <c r="A161" s="180"/>
      <c r="B161" s="205" t="s">
        <v>160</v>
      </c>
      <c r="C161" s="97" t="s">
        <v>167</v>
      </c>
      <c r="D161" s="94"/>
      <c r="E161" s="145">
        <v>73.211999999999989</v>
      </c>
      <c r="F161" s="144"/>
      <c r="G161" s="98">
        <v>89.016999999999996</v>
      </c>
      <c r="H161" s="94"/>
      <c r="I161" s="99"/>
      <c r="J161" s="99"/>
      <c r="K161" s="95"/>
    </row>
    <row r="162" spans="1:11" ht="15.75" customHeight="1">
      <c r="A162" s="180"/>
      <c r="B162" s="206"/>
      <c r="C162" s="97" t="s">
        <v>168</v>
      </c>
      <c r="D162" s="94"/>
      <c r="E162" s="145">
        <v>70.768999999999991</v>
      </c>
      <c r="F162" s="144"/>
      <c r="G162" s="98">
        <v>84.685000000000002</v>
      </c>
      <c r="H162" s="94"/>
      <c r="I162" s="99"/>
      <c r="J162" s="99"/>
      <c r="K162" s="95"/>
    </row>
    <row r="163" spans="1:11" ht="15.75" customHeight="1">
      <c r="A163" s="180"/>
      <c r="B163" s="206"/>
      <c r="C163" s="97" t="s">
        <v>169</v>
      </c>
      <c r="D163" s="94"/>
      <c r="E163" s="145">
        <v>75.521000000000001</v>
      </c>
      <c r="F163" s="144"/>
      <c r="G163" s="98">
        <v>93.046999999999997</v>
      </c>
      <c r="H163" s="94"/>
      <c r="I163" s="99"/>
      <c r="J163" s="99"/>
      <c r="K163" s="95"/>
    </row>
    <row r="164" spans="1:11" ht="15.75" customHeight="1">
      <c r="A164" s="180"/>
      <c r="B164" s="206"/>
      <c r="C164" s="97" t="s">
        <v>170</v>
      </c>
      <c r="D164" s="94"/>
      <c r="E164" s="145">
        <v>73</v>
      </c>
      <c r="F164" s="144"/>
      <c r="G164" s="98">
        <v>89.509</v>
      </c>
      <c r="H164" s="94"/>
      <c r="I164" s="99"/>
      <c r="J164" s="99"/>
      <c r="K164" s="95"/>
    </row>
    <row r="165" spans="1:11" ht="15.75" customHeight="1">
      <c r="A165" s="180"/>
      <c r="B165" s="206"/>
      <c r="C165" s="97" t="s">
        <v>172</v>
      </c>
      <c r="D165" s="94"/>
      <c r="E165" s="145">
        <v>76.555999999999997</v>
      </c>
      <c r="F165" s="144"/>
      <c r="G165" s="98">
        <v>94.707000000000008</v>
      </c>
      <c r="H165" s="94"/>
      <c r="I165" s="99"/>
      <c r="J165" s="99"/>
      <c r="K165" s="95"/>
    </row>
    <row r="166" spans="1:11" ht="15.75" customHeight="1">
      <c r="A166" s="180"/>
      <c r="B166" s="206"/>
      <c r="C166" s="97" t="s">
        <v>173</v>
      </c>
      <c r="D166" s="94"/>
      <c r="E166" s="145">
        <v>74.464999999999989</v>
      </c>
      <c r="F166" s="144"/>
      <c r="G166" s="98">
        <v>91.608000000000004</v>
      </c>
      <c r="H166" s="94"/>
      <c r="I166" s="99"/>
      <c r="J166" s="99"/>
      <c r="K166" s="95"/>
    </row>
    <row r="167" spans="1:11" ht="15.75" customHeight="1">
      <c r="A167" s="180"/>
      <c r="B167" s="206"/>
      <c r="C167" s="97" t="s">
        <v>174</v>
      </c>
      <c r="D167" s="94"/>
      <c r="E167" s="145">
        <v>75.839999999999989</v>
      </c>
      <c r="F167" s="94"/>
      <c r="G167" s="98">
        <v>94.347999999999999</v>
      </c>
      <c r="H167" s="94"/>
      <c r="I167" s="99"/>
      <c r="J167" s="99"/>
      <c r="K167" s="95"/>
    </row>
    <row r="168" spans="1:11" ht="15.75" customHeight="1">
      <c r="A168" s="180"/>
      <c r="B168" s="207"/>
      <c r="C168" s="97" t="s">
        <v>175</v>
      </c>
      <c r="D168" s="94"/>
      <c r="E168" s="145">
        <v>74.289999999999992</v>
      </c>
      <c r="F168" s="94"/>
      <c r="G168" s="98">
        <v>91.646000000000001</v>
      </c>
      <c r="H168" s="94"/>
      <c r="I168" s="99"/>
      <c r="J168" s="99"/>
      <c r="K168" s="95"/>
    </row>
    <row r="169" spans="1:11" ht="15.75" customHeight="1">
      <c r="A169" s="180"/>
      <c r="B169" s="205" t="s">
        <v>162</v>
      </c>
      <c r="C169" s="97" t="s">
        <v>167</v>
      </c>
      <c r="D169" s="94"/>
      <c r="E169" s="143">
        <v>72.668441999999956</v>
      </c>
      <c r="F169" s="144"/>
      <c r="G169" s="143">
        <v>87.241604000000137</v>
      </c>
      <c r="H169" s="94"/>
      <c r="I169" s="99"/>
      <c r="J169" s="99"/>
      <c r="K169" s="95"/>
    </row>
    <row r="170" spans="1:11" ht="15.75" customHeight="1">
      <c r="A170" s="180"/>
      <c r="B170" s="206"/>
      <c r="C170" s="97" t="s">
        <v>168</v>
      </c>
      <c r="D170" s="94"/>
      <c r="E170" s="143">
        <v>70.237483999999995</v>
      </c>
      <c r="F170" s="144"/>
      <c r="G170" s="143">
        <v>83.895856000000023</v>
      </c>
      <c r="H170" s="94"/>
      <c r="I170" s="99"/>
      <c r="J170" s="99"/>
      <c r="K170" s="95"/>
    </row>
    <row r="171" spans="1:11" ht="15.75" customHeight="1">
      <c r="A171" s="180"/>
      <c r="B171" s="206"/>
      <c r="C171" s="97" t="s">
        <v>169</v>
      </c>
      <c r="D171" s="94"/>
      <c r="E171" s="143">
        <v>74.941395999999997</v>
      </c>
      <c r="F171" s="144"/>
      <c r="G171" s="143">
        <v>91.329410000000067</v>
      </c>
      <c r="H171" s="94"/>
      <c r="I171" s="99"/>
      <c r="J171" s="99"/>
      <c r="K171" s="95"/>
    </row>
    <row r="172" spans="1:11" ht="15.75" customHeight="1">
      <c r="A172" s="180"/>
      <c r="B172" s="206"/>
      <c r="C172" s="97" t="s">
        <v>170</v>
      </c>
      <c r="D172" s="94"/>
      <c r="E172" s="143">
        <v>72.536551999999986</v>
      </c>
      <c r="F172" s="144"/>
      <c r="G172" s="143">
        <v>88.371364000000085</v>
      </c>
      <c r="H172" s="94"/>
      <c r="I172" s="99"/>
      <c r="J172" s="99"/>
      <c r="K172" s="95"/>
    </row>
    <row r="173" spans="1:11" ht="15.75" customHeight="1">
      <c r="A173" s="180"/>
      <c r="B173" s="206"/>
      <c r="C173" s="97" t="s">
        <v>172</v>
      </c>
      <c r="D173" s="94"/>
      <c r="E173" s="145">
        <v>75.893942000000024</v>
      </c>
      <c r="F173" s="94"/>
      <c r="G173" s="145">
        <v>93.55526799999997</v>
      </c>
      <c r="H173" s="94"/>
      <c r="I173" s="99"/>
      <c r="J173" s="99"/>
      <c r="K173" s="95"/>
    </row>
    <row r="174" spans="1:11" ht="15.75" customHeight="1">
      <c r="A174" s="180"/>
      <c r="B174" s="206"/>
      <c r="C174" s="97" t="s">
        <v>173</v>
      </c>
      <c r="D174" s="94"/>
      <c r="E174" s="98">
        <v>73.93632999999997</v>
      </c>
      <c r="F174" s="94"/>
      <c r="G174" s="98">
        <v>90.771070000000051</v>
      </c>
      <c r="H174" s="94"/>
      <c r="I174" s="99"/>
      <c r="J174" s="99"/>
      <c r="K174" s="95"/>
    </row>
    <row r="175" spans="1:11" ht="15.75" customHeight="1">
      <c r="A175" s="180"/>
      <c r="B175" s="206"/>
      <c r="C175" s="97" t="s">
        <v>174</v>
      </c>
      <c r="D175" s="94"/>
      <c r="E175" s="98">
        <v>75.329072000000025</v>
      </c>
      <c r="F175" s="94"/>
      <c r="G175" s="98">
        <v>92.771184000000076</v>
      </c>
      <c r="H175" s="94"/>
      <c r="I175" s="99"/>
      <c r="J175" s="99"/>
      <c r="K175" s="95"/>
    </row>
    <row r="176" spans="1:11" ht="15.75" customHeight="1">
      <c r="A176" s="180"/>
      <c r="B176" s="207"/>
      <c r="C176" s="97" t="s">
        <v>175</v>
      </c>
      <c r="D176" s="94"/>
      <c r="E176" s="146">
        <v>73.712130000000087</v>
      </c>
      <c r="F176" s="94"/>
      <c r="G176" s="146">
        <v>89.98774999999992</v>
      </c>
      <c r="H176" s="94"/>
      <c r="I176" s="99"/>
      <c r="J176" s="99"/>
      <c r="K176" s="95"/>
    </row>
    <row r="177" spans="1:11" ht="15.75" customHeight="1">
      <c r="A177" s="180"/>
      <c r="B177" s="96" t="s">
        <v>176</v>
      </c>
      <c r="C177" s="97"/>
      <c r="D177" s="94"/>
      <c r="E177" s="143">
        <v>4320</v>
      </c>
      <c r="F177" s="144"/>
      <c r="G177" s="98">
        <v>5880</v>
      </c>
      <c r="H177" s="94"/>
      <c r="I177" s="99"/>
      <c r="J177" s="99"/>
      <c r="K177" s="95"/>
    </row>
    <row r="178" spans="1:11" ht="15.75" customHeight="1">
      <c r="A178" s="180"/>
      <c r="B178" s="96" t="s">
        <v>177</v>
      </c>
      <c r="C178" s="97"/>
      <c r="D178" s="94"/>
      <c r="E178" s="143">
        <v>4272.4799999999996</v>
      </c>
      <c r="F178" s="144"/>
      <c r="G178" s="98">
        <v>5880</v>
      </c>
      <c r="H178" s="94"/>
      <c r="I178" s="99"/>
      <c r="J178" s="99"/>
      <c r="K178" s="95"/>
    </row>
    <row r="179" spans="1:11" ht="15.75" customHeight="1">
      <c r="A179" s="180"/>
      <c r="B179" s="96" t="s">
        <v>178</v>
      </c>
      <c r="C179" s="97"/>
      <c r="D179" s="94"/>
      <c r="E179" s="143">
        <v>61.16</v>
      </c>
      <c r="F179" s="144"/>
      <c r="G179" s="98">
        <v>57.84</v>
      </c>
      <c r="H179" s="94"/>
      <c r="I179" s="99"/>
      <c r="J179" s="99"/>
      <c r="K179" s="95"/>
    </row>
    <row r="180" spans="1:11" ht="15.75" customHeight="1">
      <c r="A180" s="180"/>
      <c r="B180" s="96" t="s">
        <v>179</v>
      </c>
      <c r="C180" s="97"/>
      <c r="D180" s="94"/>
      <c r="E180" s="143">
        <v>40.755720000000011</v>
      </c>
      <c r="F180" s="144"/>
      <c r="G180" s="98">
        <v>25.679300000000001</v>
      </c>
      <c r="H180" s="94"/>
      <c r="I180" s="99"/>
      <c r="J180" s="99"/>
      <c r="K180" s="95"/>
    </row>
    <row r="181" spans="1:11" ht="15.75" customHeight="1">
      <c r="A181" s="180"/>
      <c r="B181" s="96" t="s">
        <v>180</v>
      </c>
      <c r="C181" s="97"/>
      <c r="D181" s="94"/>
      <c r="E181" s="143">
        <v>31.1</v>
      </c>
      <c r="F181" s="144"/>
      <c r="G181" s="98">
        <v>15.88</v>
      </c>
      <c r="H181" s="94"/>
      <c r="I181" s="99"/>
      <c r="J181" s="99"/>
      <c r="K181" s="95"/>
    </row>
    <row r="182" spans="1:11" ht="15.75" customHeight="1">
      <c r="A182" s="180"/>
      <c r="B182" s="96" t="s">
        <v>181</v>
      </c>
      <c r="C182" s="97"/>
      <c r="D182" s="94"/>
      <c r="E182" s="143">
        <v>60.515000000000001</v>
      </c>
      <c r="F182" s="94"/>
      <c r="G182" s="98">
        <v>64.826000000000008</v>
      </c>
      <c r="H182" s="94"/>
      <c r="I182" s="99"/>
      <c r="J182" s="99"/>
      <c r="K182" s="95"/>
    </row>
    <row r="183" spans="1:11" ht="15.75" customHeight="1">
      <c r="A183" s="180"/>
      <c r="B183" s="96" t="s">
        <v>182</v>
      </c>
      <c r="C183" s="97"/>
      <c r="D183" s="94"/>
      <c r="E183" s="143">
        <v>60.051997999999962</v>
      </c>
      <c r="F183" s="94"/>
      <c r="G183" s="98">
        <v>64.386961999999926</v>
      </c>
      <c r="H183" s="94"/>
      <c r="I183" s="99"/>
      <c r="J183" s="99"/>
      <c r="K183" s="95"/>
    </row>
    <row r="184" spans="1:11" ht="15.75" customHeight="1">
      <c r="A184" s="180"/>
      <c r="B184" s="96" t="s">
        <v>183</v>
      </c>
      <c r="C184" s="97"/>
      <c r="D184" s="94"/>
      <c r="E184" s="98" t="s">
        <v>406</v>
      </c>
      <c r="F184" s="94"/>
      <c r="G184" s="98" t="s">
        <v>406</v>
      </c>
      <c r="H184" s="94"/>
      <c r="I184" s="99"/>
      <c r="J184" s="99"/>
      <c r="K184" s="95"/>
    </row>
    <row r="185" spans="1:11" ht="15.75" customHeight="1">
      <c r="A185" s="180"/>
      <c r="B185" s="96" t="s">
        <v>184</v>
      </c>
      <c r="C185" s="97"/>
      <c r="D185" s="94"/>
      <c r="E185" s="98" t="s">
        <v>406</v>
      </c>
      <c r="F185" s="94"/>
      <c r="G185" s="98" t="s">
        <v>406</v>
      </c>
      <c r="H185" s="94"/>
      <c r="I185" s="99"/>
      <c r="J185" s="99"/>
      <c r="K185" s="95"/>
    </row>
    <row r="186" spans="1:11" ht="15.75" customHeight="1">
      <c r="A186" s="180"/>
      <c r="B186" s="96" t="s">
        <v>185</v>
      </c>
      <c r="C186" s="97"/>
      <c r="D186" s="94"/>
      <c r="E186" s="98" t="s">
        <v>406</v>
      </c>
      <c r="F186" s="94"/>
      <c r="G186" s="98" t="s">
        <v>406</v>
      </c>
      <c r="H186" s="94"/>
      <c r="I186" s="99"/>
      <c r="J186" s="99"/>
      <c r="K186" s="95"/>
    </row>
    <row r="187" spans="1:11" ht="15.75" customHeight="1">
      <c r="A187" s="180"/>
      <c r="B187" s="96" t="s">
        <v>186</v>
      </c>
      <c r="C187" s="97"/>
      <c r="D187" s="94"/>
      <c r="E187" s="143">
        <v>4560</v>
      </c>
      <c r="F187" s="94"/>
      <c r="G187" s="98">
        <v>6120</v>
      </c>
      <c r="H187" s="94"/>
      <c r="I187" s="99"/>
      <c r="J187" s="99"/>
      <c r="K187" s="95"/>
    </row>
    <row r="188" spans="1:11" ht="15.75" customHeight="1">
      <c r="A188" s="180"/>
      <c r="B188" s="96" t="s">
        <v>187</v>
      </c>
      <c r="C188" s="97"/>
      <c r="D188" s="94"/>
      <c r="E188" s="143">
        <v>4500.72</v>
      </c>
      <c r="F188" s="94"/>
      <c r="G188" s="98">
        <v>6113.16</v>
      </c>
      <c r="H188" s="94"/>
      <c r="I188" s="99"/>
      <c r="J188" s="99"/>
      <c r="K188" s="95"/>
    </row>
    <row r="189" spans="1:11" ht="8.1" customHeight="1">
      <c r="A189" s="88"/>
      <c r="B189" s="88"/>
      <c r="C189" s="88"/>
      <c r="D189" s="88"/>
      <c r="E189" s="88"/>
      <c r="F189" s="88"/>
      <c r="G189" s="88"/>
      <c r="H189" s="94"/>
      <c r="I189" s="95"/>
      <c r="J189" s="95"/>
      <c r="K189" s="95"/>
    </row>
    <row r="190" spans="1:11" ht="15.75" customHeight="1">
      <c r="A190" s="176" t="s">
        <v>190</v>
      </c>
      <c r="B190" s="96" t="s">
        <v>153</v>
      </c>
      <c r="C190" s="97"/>
      <c r="D190" s="94"/>
      <c r="E190" s="98">
        <v>1.913</v>
      </c>
      <c r="F190" s="94"/>
      <c r="G190" s="98">
        <v>2.8559999999999999</v>
      </c>
      <c r="H190" s="94"/>
      <c r="I190" s="99"/>
      <c r="J190" s="99"/>
      <c r="K190" s="95"/>
    </row>
    <row r="191" spans="1:11" ht="15.75" customHeight="1">
      <c r="A191" s="178"/>
      <c r="B191" s="96" t="s">
        <v>156</v>
      </c>
      <c r="C191" s="97"/>
      <c r="D191" s="94"/>
      <c r="E191" s="98">
        <v>1.8986359999999933</v>
      </c>
      <c r="F191" s="94"/>
      <c r="G191" s="98">
        <v>2.7607139999999952</v>
      </c>
      <c r="H191" s="94"/>
      <c r="I191" s="99"/>
      <c r="J191" s="99"/>
      <c r="K191" s="95"/>
    </row>
    <row r="192" spans="1:11" ht="15.75" customHeight="1">
      <c r="A192" s="178"/>
      <c r="B192" s="96" t="s">
        <v>158</v>
      </c>
      <c r="C192" s="97"/>
      <c r="D192" s="94"/>
      <c r="E192" s="98">
        <v>1.895</v>
      </c>
      <c r="F192" s="94"/>
      <c r="G192" s="98">
        <v>2.6240000000000001</v>
      </c>
      <c r="H192" s="94"/>
      <c r="I192" s="99"/>
      <c r="J192" s="99"/>
      <c r="K192" s="95"/>
    </row>
    <row r="193" spans="1:11" ht="15.75" customHeight="1">
      <c r="A193" s="178"/>
      <c r="B193" s="96" t="s">
        <v>160</v>
      </c>
      <c r="C193" s="97"/>
      <c r="D193" s="94"/>
      <c r="E193" s="98">
        <v>65.334999999999994</v>
      </c>
      <c r="F193" s="94"/>
      <c r="G193" s="98">
        <v>74.941999999999993</v>
      </c>
      <c r="H193" s="94"/>
      <c r="I193" s="99"/>
      <c r="J193" s="99"/>
      <c r="K193" s="95"/>
    </row>
    <row r="194" spans="1:11" ht="15.75" customHeight="1">
      <c r="A194" s="178"/>
      <c r="B194" s="96" t="s">
        <v>162</v>
      </c>
      <c r="C194" s="97"/>
      <c r="D194" s="94"/>
      <c r="E194" s="98">
        <v>64.782790000000006</v>
      </c>
      <c r="F194" s="94"/>
      <c r="G194" s="98">
        <v>73.303699999999992</v>
      </c>
      <c r="H194" s="94"/>
      <c r="I194" s="99"/>
      <c r="J194" s="99"/>
      <c r="K194" s="95"/>
    </row>
    <row r="195" spans="1:11" ht="15.75" customHeight="1">
      <c r="A195" s="178"/>
      <c r="B195" s="96" t="s">
        <v>163</v>
      </c>
      <c r="C195" s="97"/>
      <c r="D195" s="94"/>
      <c r="E195" s="98">
        <v>56.851999999999997</v>
      </c>
      <c r="F195" s="94"/>
      <c r="G195" s="98">
        <v>87.075000000000003</v>
      </c>
      <c r="H195" s="94"/>
      <c r="I195" s="99"/>
      <c r="J195" s="99"/>
      <c r="K195" s="95"/>
    </row>
    <row r="196" spans="1:11" ht="15.75" customHeight="1">
      <c r="A196" s="178"/>
      <c r="B196" s="96" t="s">
        <v>164</v>
      </c>
      <c r="C196" s="97"/>
      <c r="D196" s="94"/>
      <c r="E196" s="98">
        <v>54.950809999999969</v>
      </c>
      <c r="F196" s="94"/>
      <c r="G196" s="98">
        <v>85.005353999999997</v>
      </c>
      <c r="H196" s="94"/>
      <c r="I196" s="99"/>
      <c r="J196" s="99"/>
      <c r="K196" s="95"/>
    </row>
    <row r="197" spans="1:11" ht="15.75" customHeight="1">
      <c r="A197" s="178"/>
      <c r="B197" s="96" t="s">
        <v>165</v>
      </c>
      <c r="C197" s="97"/>
      <c r="D197" s="94"/>
      <c r="E197" s="98">
        <v>51.649000000000001</v>
      </c>
      <c r="F197" s="94"/>
      <c r="G197" s="146">
        <v>83.307000000000002</v>
      </c>
      <c r="H197" s="94"/>
      <c r="I197" s="99"/>
      <c r="J197" s="99"/>
      <c r="K197" s="95"/>
    </row>
    <row r="198" spans="1:11" ht="15.75" customHeight="1">
      <c r="A198" s="178"/>
      <c r="B198" s="205" t="s">
        <v>153</v>
      </c>
      <c r="C198" s="97" t="s">
        <v>167</v>
      </c>
      <c r="D198" s="94"/>
      <c r="E198" s="98">
        <v>1.913</v>
      </c>
      <c r="F198" s="147"/>
      <c r="G198" s="143">
        <v>2.8559999999999999</v>
      </c>
      <c r="H198" s="94"/>
      <c r="I198" s="99"/>
      <c r="J198" s="99"/>
      <c r="K198" s="95"/>
    </row>
    <row r="199" spans="1:11" ht="15.75" customHeight="1">
      <c r="A199" s="178"/>
      <c r="B199" s="206"/>
      <c r="C199" s="97" t="s">
        <v>168</v>
      </c>
      <c r="D199" s="94"/>
      <c r="E199" s="98">
        <v>1.913</v>
      </c>
      <c r="F199" s="147"/>
      <c r="G199" s="143">
        <v>2.8559999999999999</v>
      </c>
      <c r="H199" s="94"/>
      <c r="I199" s="99"/>
      <c r="J199" s="99"/>
      <c r="K199" s="95"/>
    </row>
    <row r="200" spans="1:11" ht="15.75" customHeight="1">
      <c r="A200" s="178"/>
      <c r="B200" s="206"/>
      <c r="C200" s="97" t="s">
        <v>169</v>
      </c>
      <c r="D200" s="94"/>
      <c r="E200" s="98">
        <v>1.913</v>
      </c>
      <c r="F200" s="147"/>
      <c r="G200" s="143">
        <v>2.8559999999999999</v>
      </c>
      <c r="H200" s="94"/>
      <c r="I200" s="99"/>
      <c r="J200" s="99"/>
      <c r="K200" s="95"/>
    </row>
    <row r="201" spans="1:11" ht="15.75" customHeight="1">
      <c r="A201" s="178"/>
      <c r="B201" s="206"/>
      <c r="C201" s="97" t="s">
        <v>170</v>
      </c>
      <c r="D201" s="94"/>
      <c r="E201" s="98">
        <v>1.913</v>
      </c>
      <c r="F201" s="147"/>
      <c r="G201" s="143">
        <v>2.8559999999999999</v>
      </c>
      <c r="H201" s="94"/>
      <c r="I201" s="99"/>
      <c r="J201" s="99"/>
      <c r="K201" s="95"/>
    </row>
    <row r="202" spans="1:11" ht="15.75" customHeight="1">
      <c r="A202" s="178"/>
      <c r="B202" s="206"/>
      <c r="C202" s="97" t="s">
        <v>172</v>
      </c>
      <c r="D202" s="94"/>
      <c r="E202" s="98">
        <v>1.913</v>
      </c>
      <c r="F202" s="147"/>
      <c r="G202" s="143">
        <v>2.8559999999999999</v>
      </c>
      <c r="H202" s="94"/>
      <c r="I202" s="99"/>
      <c r="J202" s="99"/>
      <c r="K202" s="95"/>
    </row>
    <row r="203" spans="1:11" ht="15.75" customHeight="1">
      <c r="A203" s="178"/>
      <c r="B203" s="206"/>
      <c r="C203" s="97" t="s">
        <v>173</v>
      </c>
      <c r="D203" s="94"/>
      <c r="E203" s="98">
        <v>1.913</v>
      </c>
      <c r="F203" s="147"/>
      <c r="G203" s="143">
        <v>2.8559999999999999</v>
      </c>
      <c r="H203" s="94"/>
      <c r="I203" s="99"/>
      <c r="J203" s="99"/>
      <c r="K203" s="95"/>
    </row>
    <row r="204" spans="1:11" ht="15.75" customHeight="1">
      <c r="A204" s="178"/>
      <c r="B204" s="206"/>
      <c r="C204" s="97" t="s">
        <v>174</v>
      </c>
      <c r="D204" s="94"/>
      <c r="E204" s="98">
        <v>1.913</v>
      </c>
      <c r="F204" s="147"/>
      <c r="G204" s="143">
        <v>2.8559999999999999</v>
      </c>
      <c r="H204" s="94"/>
      <c r="I204" s="99"/>
      <c r="J204" s="99"/>
      <c r="K204" s="95"/>
    </row>
    <row r="205" spans="1:11" ht="15.75" customHeight="1">
      <c r="A205" s="178"/>
      <c r="B205" s="207"/>
      <c r="C205" s="97" t="s">
        <v>175</v>
      </c>
      <c r="D205" s="94"/>
      <c r="E205" s="98">
        <v>1.913</v>
      </c>
      <c r="F205" s="147"/>
      <c r="G205" s="143">
        <v>2.8559999999999999</v>
      </c>
      <c r="H205" s="94"/>
      <c r="I205" s="99"/>
      <c r="J205" s="99"/>
      <c r="K205" s="95"/>
    </row>
    <row r="206" spans="1:11" ht="15.75" customHeight="1">
      <c r="A206" s="178"/>
      <c r="B206" s="205" t="s">
        <v>156</v>
      </c>
      <c r="C206" s="97" t="s">
        <v>167</v>
      </c>
      <c r="D206" s="94"/>
      <c r="E206" s="98">
        <v>1.8986359999999933</v>
      </c>
      <c r="F206" s="147"/>
      <c r="G206" s="143">
        <v>2.7607119999999954</v>
      </c>
      <c r="H206" s="94"/>
      <c r="I206" s="99"/>
      <c r="J206" s="99"/>
      <c r="K206" s="95"/>
    </row>
    <row r="207" spans="1:11" ht="15.75" customHeight="1">
      <c r="A207" s="178"/>
      <c r="B207" s="206"/>
      <c r="C207" s="97" t="s">
        <v>168</v>
      </c>
      <c r="D207" s="94"/>
      <c r="E207" s="98">
        <v>1.8986359999999933</v>
      </c>
      <c r="F207" s="147"/>
      <c r="G207" s="143">
        <v>2.7607139999999952</v>
      </c>
      <c r="H207" s="94"/>
      <c r="I207" s="99"/>
      <c r="J207" s="99"/>
      <c r="K207" s="95"/>
    </row>
    <row r="208" spans="1:11" ht="15.75" customHeight="1">
      <c r="A208" s="178"/>
      <c r="B208" s="206"/>
      <c r="C208" s="97" t="s">
        <v>169</v>
      </c>
      <c r="D208" s="94"/>
      <c r="E208" s="98">
        <v>1.8986359999999933</v>
      </c>
      <c r="F208" s="147"/>
      <c r="G208" s="143">
        <v>2.7607139999999952</v>
      </c>
      <c r="H208" s="94"/>
      <c r="I208" s="99"/>
      <c r="J208" s="99"/>
      <c r="K208" s="95"/>
    </row>
    <row r="209" spans="1:11" ht="15.75" customHeight="1">
      <c r="A209" s="178"/>
      <c r="B209" s="206"/>
      <c r="C209" s="97" t="s">
        <v>170</v>
      </c>
      <c r="D209" s="94"/>
      <c r="E209" s="98">
        <v>1.8986359999999933</v>
      </c>
      <c r="F209" s="147"/>
      <c r="G209" s="143">
        <v>2.7607119999999954</v>
      </c>
      <c r="H209" s="94"/>
      <c r="I209" s="99"/>
      <c r="J209" s="99"/>
      <c r="K209" s="95"/>
    </row>
    <row r="210" spans="1:11" ht="15.75" customHeight="1">
      <c r="A210" s="178"/>
      <c r="B210" s="206"/>
      <c r="C210" s="97" t="s">
        <v>172</v>
      </c>
      <c r="D210" s="94"/>
      <c r="E210" s="98">
        <v>1.8986399999999932</v>
      </c>
      <c r="F210" s="147"/>
      <c r="G210" s="143">
        <v>2.7607099999999956</v>
      </c>
      <c r="H210" s="94"/>
      <c r="I210" s="99"/>
      <c r="J210" s="99"/>
      <c r="K210" s="95"/>
    </row>
    <row r="211" spans="1:11" ht="15.75" customHeight="1">
      <c r="A211" s="178"/>
      <c r="B211" s="206"/>
      <c r="C211" s="97" t="s">
        <v>173</v>
      </c>
      <c r="D211" s="94"/>
      <c r="E211" s="98">
        <v>1.8986359999999933</v>
      </c>
      <c r="F211" s="94"/>
      <c r="G211" s="143">
        <v>2.7607139999999952</v>
      </c>
      <c r="H211" s="94"/>
      <c r="I211" s="99"/>
      <c r="J211" s="99"/>
      <c r="K211" s="95"/>
    </row>
    <row r="212" spans="1:11" ht="15.75" customHeight="1">
      <c r="A212" s="178"/>
      <c r="B212" s="206"/>
      <c r="C212" s="97" t="s">
        <v>174</v>
      </c>
      <c r="D212" s="94"/>
      <c r="E212" s="98">
        <v>1.8986359999999933</v>
      </c>
      <c r="F212" s="94"/>
      <c r="G212" s="143">
        <v>2.7607139999999952</v>
      </c>
      <c r="H212" s="94"/>
      <c r="I212" s="99"/>
      <c r="J212" s="99"/>
      <c r="K212" s="95"/>
    </row>
    <row r="213" spans="1:11" ht="15.75" customHeight="1">
      <c r="A213" s="178"/>
      <c r="B213" s="207"/>
      <c r="C213" s="97" t="s">
        <v>175</v>
      </c>
      <c r="D213" s="94"/>
      <c r="E213" s="98">
        <v>1.8986359999999933</v>
      </c>
      <c r="F213" s="94"/>
      <c r="G213" s="143">
        <v>2.7607139999999952</v>
      </c>
      <c r="H213" s="94"/>
      <c r="I213" s="99"/>
      <c r="J213" s="99"/>
      <c r="K213" s="95"/>
    </row>
    <row r="214" spans="1:11" ht="15.75" customHeight="1">
      <c r="A214" s="178"/>
      <c r="B214" s="205" t="s">
        <v>158</v>
      </c>
      <c r="C214" s="97" t="s">
        <v>167</v>
      </c>
      <c r="D214" s="94"/>
      <c r="E214" s="98">
        <v>1.895</v>
      </c>
      <c r="F214" s="147"/>
      <c r="G214" s="143">
        <v>2.6240000000000001</v>
      </c>
      <c r="H214" s="94"/>
      <c r="I214" s="99"/>
      <c r="J214" s="99"/>
      <c r="K214" s="95"/>
    </row>
    <row r="215" spans="1:11" ht="15.75" customHeight="1">
      <c r="A215" s="178"/>
      <c r="B215" s="206"/>
      <c r="C215" s="97" t="s">
        <v>168</v>
      </c>
      <c r="D215" s="94"/>
      <c r="E215" s="98">
        <v>1.895</v>
      </c>
      <c r="F215" s="147"/>
      <c r="G215" s="143">
        <v>2.6240000000000001</v>
      </c>
      <c r="H215" s="94"/>
      <c r="I215" s="99"/>
      <c r="J215" s="99"/>
      <c r="K215" s="95"/>
    </row>
    <row r="216" spans="1:11" ht="15.75" customHeight="1">
      <c r="A216" s="178"/>
      <c r="B216" s="206"/>
      <c r="C216" s="97" t="s">
        <v>169</v>
      </c>
      <c r="D216" s="94"/>
      <c r="E216" s="98">
        <v>1.895</v>
      </c>
      <c r="F216" s="147"/>
      <c r="G216" s="143">
        <v>2.6240000000000001</v>
      </c>
      <c r="H216" s="94"/>
      <c r="I216" s="99"/>
      <c r="J216" s="99"/>
      <c r="K216" s="95"/>
    </row>
    <row r="217" spans="1:11" ht="15.75" customHeight="1">
      <c r="A217" s="178"/>
      <c r="B217" s="206"/>
      <c r="C217" s="97" t="s">
        <v>170</v>
      </c>
      <c r="D217" s="94"/>
      <c r="E217" s="98">
        <v>1.895</v>
      </c>
      <c r="F217" s="147"/>
      <c r="G217" s="143">
        <v>2.6240000000000001</v>
      </c>
      <c r="H217" s="94"/>
      <c r="I217" s="99"/>
      <c r="J217" s="99"/>
      <c r="K217" s="95"/>
    </row>
    <row r="218" spans="1:11" ht="15.75" customHeight="1">
      <c r="A218" s="178"/>
      <c r="B218" s="206"/>
      <c r="C218" s="97" t="s">
        <v>172</v>
      </c>
      <c r="D218" s="94"/>
      <c r="E218" s="98">
        <v>1.895</v>
      </c>
      <c r="F218" s="147"/>
      <c r="G218" s="143">
        <v>2.6240000000000001</v>
      </c>
      <c r="H218" s="94"/>
      <c r="I218" s="99"/>
      <c r="J218" s="99"/>
      <c r="K218" s="95"/>
    </row>
    <row r="219" spans="1:11" ht="15.75" customHeight="1">
      <c r="A219" s="178"/>
      <c r="B219" s="206"/>
      <c r="C219" s="97" t="s">
        <v>173</v>
      </c>
      <c r="D219" s="94"/>
      <c r="E219" s="98">
        <v>1.895</v>
      </c>
      <c r="F219" s="94"/>
      <c r="G219" s="143">
        <v>2.6240000000000001</v>
      </c>
      <c r="H219" s="94"/>
      <c r="I219" s="99"/>
      <c r="J219" s="99"/>
      <c r="K219" s="95"/>
    </row>
    <row r="220" spans="1:11" ht="15.75" customHeight="1">
      <c r="A220" s="178"/>
      <c r="B220" s="206"/>
      <c r="C220" s="97" t="s">
        <v>174</v>
      </c>
      <c r="D220" s="94"/>
      <c r="E220" s="98">
        <v>1.895</v>
      </c>
      <c r="F220" s="94"/>
      <c r="G220" s="143">
        <v>2.6240000000000001</v>
      </c>
      <c r="H220" s="94"/>
      <c r="I220" s="99"/>
      <c r="J220" s="99"/>
      <c r="K220" s="95"/>
    </row>
    <row r="221" spans="1:11" ht="15.75" customHeight="1">
      <c r="A221" s="178"/>
      <c r="B221" s="207"/>
      <c r="C221" s="97" t="s">
        <v>175</v>
      </c>
      <c r="D221" s="94"/>
      <c r="E221" s="98">
        <v>1.895</v>
      </c>
      <c r="F221" s="94"/>
      <c r="G221" s="143">
        <v>2.6240000000000001</v>
      </c>
      <c r="H221" s="94"/>
      <c r="I221" s="99"/>
      <c r="J221" s="99"/>
      <c r="K221" s="95"/>
    </row>
    <row r="222" spans="1:11" ht="15.75" customHeight="1">
      <c r="A222" s="178"/>
      <c r="B222" s="205" t="s">
        <v>160</v>
      </c>
      <c r="C222" s="97" t="s">
        <v>167</v>
      </c>
      <c r="D222" s="94"/>
      <c r="E222" s="98">
        <v>64.555999999999997</v>
      </c>
      <c r="F222" s="147"/>
      <c r="G222" s="143">
        <v>73.736999999999995</v>
      </c>
      <c r="H222" s="94"/>
      <c r="I222" s="99"/>
      <c r="J222" s="99"/>
      <c r="K222" s="95"/>
    </row>
    <row r="223" spans="1:11" ht="15.75" customHeight="1">
      <c r="A223" s="178"/>
      <c r="B223" s="206"/>
      <c r="C223" s="97" t="s">
        <v>168</v>
      </c>
      <c r="D223" s="94"/>
      <c r="E223" s="98">
        <v>64</v>
      </c>
      <c r="F223" s="147"/>
      <c r="G223" s="143">
        <v>72.802000000000007</v>
      </c>
      <c r="H223" s="94"/>
      <c r="I223" s="99"/>
      <c r="J223" s="99"/>
      <c r="K223" s="95"/>
    </row>
    <row r="224" spans="1:11" ht="15.75" customHeight="1">
      <c r="A224" s="178"/>
      <c r="B224" s="206"/>
      <c r="C224" s="97" t="s">
        <v>169</v>
      </c>
      <c r="D224" s="94"/>
      <c r="E224" s="98">
        <v>65.156000000000006</v>
      </c>
      <c r="F224" s="147"/>
      <c r="G224" s="143">
        <v>74.646000000000001</v>
      </c>
      <c r="H224" s="94"/>
      <c r="I224" s="99"/>
      <c r="J224" s="99"/>
      <c r="K224" s="95"/>
    </row>
    <row r="225" spans="1:11" ht="15.75" customHeight="1">
      <c r="A225" s="178"/>
      <c r="B225" s="206"/>
      <c r="C225" s="97" t="s">
        <v>170</v>
      </c>
      <c r="D225" s="94"/>
      <c r="E225" s="98">
        <v>64.706000000000003</v>
      </c>
      <c r="F225" s="147"/>
      <c r="G225" s="143">
        <v>74.162999999999997</v>
      </c>
      <c r="H225" s="94"/>
      <c r="I225" s="99"/>
      <c r="J225" s="99"/>
      <c r="K225" s="95"/>
    </row>
    <row r="226" spans="1:11" ht="15.75" customHeight="1">
      <c r="A226" s="178"/>
      <c r="B226" s="206"/>
      <c r="C226" s="97" t="s">
        <v>172</v>
      </c>
      <c r="D226" s="94"/>
      <c r="E226" s="98">
        <v>65.206000000000003</v>
      </c>
      <c r="F226" s="147"/>
      <c r="G226" s="143">
        <v>73.721000000000004</v>
      </c>
      <c r="H226" s="94"/>
      <c r="I226" s="99"/>
      <c r="J226" s="99"/>
      <c r="K226" s="95"/>
    </row>
    <row r="227" spans="1:11" ht="15.75" customHeight="1">
      <c r="A227" s="178"/>
      <c r="B227" s="206"/>
      <c r="C227" s="97" t="s">
        <v>173</v>
      </c>
      <c r="D227" s="94"/>
      <c r="E227" s="98">
        <v>65.093999999999994</v>
      </c>
      <c r="F227" s="94"/>
      <c r="G227" s="143">
        <v>74.489000000000004</v>
      </c>
      <c r="H227" s="94"/>
      <c r="I227" s="99"/>
      <c r="J227" s="99"/>
      <c r="K227" s="95"/>
    </row>
    <row r="228" spans="1:11" ht="15.75" customHeight="1">
      <c r="A228" s="178"/>
      <c r="B228" s="206"/>
      <c r="C228" s="97" t="s">
        <v>174</v>
      </c>
      <c r="D228" s="94"/>
      <c r="E228" s="98">
        <v>65.125</v>
      </c>
      <c r="F228" s="94"/>
      <c r="G228" s="143">
        <v>74.091999999999999</v>
      </c>
      <c r="H228" s="94"/>
      <c r="I228" s="99"/>
      <c r="J228" s="99"/>
      <c r="K228" s="95"/>
    </row>
    <row r="229" spans="1:11" ht="15.75" customHeight="1">
      <c r="A229" s="178"/>
      <c r="B229" s="207"/>
      <c r="C229" s="97" t="s">
        <v>175</v>
      </c>
      <c r="D229" s="94"/>
      <c r="E229" s="98">
        <v>64.933999999999997</v>
      </c>
      <c r="F229" s="94"/>
      <c r="G229" s="143">
        <v>74.941000000000003</v>
      </c>
      <c r="H229" s="94"/>
      <c r="I229" s="99"/>
      <c r="J229" s="99"/>
      <c r="K229" s="95"/>
    </row>
    <row r="230" spans="1:11" ht="15.75" customHeight="1">
      <c r="A230" s="178"/>
      <c r="B230" s="205" t="s">
        <v>162</v>
      </c>
      <c r="C230" s="97" t="s">
        <v>167</v>
      </c>
      <c r="D230" s="94"/>
      <c r="E230" s="98">
        <v>64.055220000000034</v>
      </c>
      <c r="F230" s="94"/>
      <c r="G230" s="143">
        <v>71.83799599999999</v>
      </c>
      <c r="H230" s="94"/>
      <c r="I230" s="99"/>
      <c r="J230" s="99"/>
      <c r="K230" s="95"/>
    </row>
    <row r="231" spans="1:11" ht="15.75" customHeight="1">
      <c r="A231" s="178"/>
      <c r="B231" s="206"/>
      <c r="C231" s="97" t="s">
        <v>168</v>
      </c>
      <c r="D231" s="94"/>
      <c r="E231" s="98">
        <v>63.316337999999995</v>
      </c>
      <c r="F231" s="94"/>
      <c r="G231" s="143">
        <v>71.023991999999936</v>
      </c>
      <c r="H231" s="94"/>
      <c r="I231" s="99"/>
      <c r="J231" s="99"/>
      <c r="K231" s="95"/>
    </row>
    <row r="232" spans="1:11" ht="15.75" customHeight="1">
      <c r="A232" s="178"/>
      <c r="B232" s="206"/>
      <c r="C232" s="97" t="s">
        <v>169</v>
      </c>
      <c r="D232" s="94"/>
      <c r="E232" s="98">
        <v>64.529345999999933</v>
      </c>
      <c r="F232" s="94"/>
      <c r="G232" s="143">
        <v>72.38842799999999</v>
      </c>
      <c r="H232" s="94"/>
      <c r="I232" s="99"/>
      <c r="J232" s="99"/>
      <c r="K232" s="95"/>
    </row>
    <row r="233" spans="1:11" ht="15.75" customHeight="1">
      <c r="A233" s="178"/>
      <c r="B233" s="206"/>
      <c r="C233" s="97" t="s">
        <v>170</v>
      </c>
      <c r="D233" s="94"/>
      <c r="E233" s="98">
        <v>63.989046000000002</v>
      </c>
      <c r="F233" s="94"/>
      <c r="G233" s="143">
        <v>72.02811999999993</v>
      </c>
      <c r="H233" s="94"/>
      <c r="I233" s="99"/>
      <c r="J233" s="99"/>
      <c r="K233" s="95"/>
    </row>
    <row r="234" spans="1:11" ht="15.75" customHeight="1">
      <c r="A234" s="178"/>
      <c r="B234" s="206"/>
      <c r="C234" s="97" t="s">
        <v>172</v>
      </c>
      <c r="D234" s="94"/>
      <c r="E234" s="98">
        <v>64.61748</v>
      </c>
      <c r="F234" s="94"/>
      <c r="G234" s="143">
        <v>72.236699999999985</v>
      </c>
      <c r="H234" s="94"/>
      <c r="I234" s="99"/>
      <c r="J234" s="99"/>
      <c r="K234" s="95"/>
    </row>
    <row r="235" spans="1:11" ht="15.75" customHeight="1">
      <c r="A235" s="178"/>
      <c r="B235" s="206"/>
      <c r="C235" s="97" t="s">
        <v>173</v>
      </c>
      <c r="D235" s="94"/>
      <c r="E235" s="98">
        <v>64.428597999999994</v>
      </c>
      <c r="F235" s="94"/>
      <c r="G235" s="143">
        <v>72.641396000000015</v>
      </c>
      <c r="H235" s="94"/>
      <c r="I235" s="99"/>
      <c r="J235" s="99"/>
      <c r="K235" s="95"/>
    </row>
    <row r="236" spans="1:11" ht="15.75" customHeight="1">
      <c r="A236" s="178"/>
      <c r="B236" s="206"/>
      <c r="C236" s="97" t="s">
        <v>174</v>
      </c>
      <c r="D236" s="94"/>
      <c r="E236" s="98">
        <v>64.48413999999994</v>
      </c>
      <c r="F236" s="94"/>
      <c r="G236" s="143">
        <v>72.074650000000005</v>
      </c>
      <c r="H236" s="94"/>
      <c r="I236" s="99"/>
      <c r="J236" s="99"/>
      <c r="K236" s="95"/>
    </row>
    <row r="237" spans="1:11" ht="15.75" customHeight="1">
      <c r="A237" s="178"/>
      <c r="B237" s="207"/>
      <c r="C237" s="97" t="s">
        <v>175</v>
      </c>
      <c r="D237" s="94"/>
      <c r="E237" s="98">
        <v>64.278903999999983</v>
      </c>
      <c r="F237" s="94"/>
      <c r="G237" s="143">
        <v>72.360719999999986</v>
      </c>
      <c r="H237" s="94"/>
      <c r="I237" s="99"/>
      <c r="J237" s="99"/>
      <c r="K237" s="95"/>
    </row>
    <row r="238" spans="1:11" ht="15.75" customHeight="1">
      <c r="A238" s="178"/>
      <c r="B238" s="96" t="s">
        <v>176</v>
      </c>
      <c r="C238" s="97"/>
      <c r="D238" s="94"/>
      <c r="E238" s="98">
        <v>4260</v>
      </c>
      <c r="F238" s="94"/>
      <c r="G238" s="98">
        <v>5940</v>
      </c>
      <c r="H238" s="94"/>
      <c r="I238" s="99"/>
      <c r="J238" s="99"/>
      <c r="K238" s="95"/>
    </row>
    <row r="239" spans="1:11" ht="15.75" customHeight="1">
      <c r="A239" s="178"/>
      <c r="B239" s="96" t="s">
        <v>177</v>
      </c>
      <c r="C239" s="97"/>
      <c r="D239" s="94"/>
      <c r="E239" s="98">
        <v>4260</v>
      </c>
      <c r="F239" s="94"/>
      <c r="G239" s="98">
        <v>5880.6</v>
      </c>
      <c r="H239" s="94"/>
      <c r="I239" s="99"/>
      <c r="J239" s="99"/>
      <c r="K239" s="95"/>
    </row>
    <row r="240" spans="1:11" ht="15.75" customHeight="1">
      <c r="A240" s="178"/>
      <c r="B240" s="96" t="s">
        <v>178</v>
      </c>
      <c r="C240" s="97"/>
      <c r="D240" s="94"/>
      <c r="E240" s="98">
        <v>594.99</v>
      </c>
      <c r="F240" s="94"/>
      <c r="G240" s="98">
        <v>1003.91</v>
      </c>
      <c r="H240" s="94"/>
      <c r="I240" s="99"/>
      <c r="J240" s="99"/>
      <c r="K240" s="95"/>
    </row>
    <row r="241" spans="1:11" ht="15.75" customHeight="1">
      <c r="A241" s="178"/>
      <c r="B241" s="96" t="s">
        <v>179</v>
      </c>
      <c r="C241" s="97"/>
      <c r="D241" s="94"/>
      <c r="E241" s="98">
        <v>591.36468000000059</v>
      </c>
      <c r="F241" s="94"/>
      <c r="G241" s="98">
        <v>977.25513999999964</v>
      </c>
      <c r="H241" s="94"/>
      <c r="I241" s="99"/>
      <c r="J241" s="99"/>
      <c r="K241" s="95"/>
    </row>
    <row r="242" spans="1:11" ht="15.75" customHeight="1">
      <c r="A242" s="178"/>
      <c r="B242" s="96" t="s">
        <v>180</v>
      </c>
      <c r="C242" s="97"/>
      <c r="D242" s="94"/>
      <c r="E242" s="98">
        <v>582.22</v>
      </c>
      <c r="F242" s="94"/>
      <c r="G242" s="98">
        <v>930.72</v>
      </c>
      <c r="H242" s="94"/>
      <c r="I242" s="99"/>
      <c r="J242" s="99"/>
      <c r="K242" s="95"/>
    </row>
    <row r="243" spans="1:11" ht="15.75" customHeight="1">
      <c r="A243" s="178"/>
      <c r="B243" s="96" t="s">
        <v>181</v>
      </c>
      <c r="C243" s="97"/>
      <c r="D243" s="94"/>
      <c r="E243" s="98">
        <v>66.450999999999993</v>
      </c>
      <c r="F243" s="94"/>
      <c r="G243" s="98">
        <v>74.197000000000003</v>
      </c>
      <c r="H243" s="94"/>
      <c r="I243" s="99"/>
      <c r="J243" s="99"/>
      <c r="K243" s="95"/>
    </row>
    <row r="244" spans="1:11" ht="15.75" customHeight="1">
      <c r="A244" s="178"/>
      <c r="B244" s="96" t="s">
        <v>182</v>
      </c>
      <c r="C244" s="97"/>
      <c r="D244" s="94"/>
      <c r="E244" s="98">
        <v>65.876654000000045</v>
      </c>
      <c r="F244" s="94"/>
      <c r="G244" s="98">
        <v>73.674106000000009</v>
      </c>
      <c r="H244" s="94"/>
      <c r="I244" s="99"/>
      <c r="J244" s="99"/>
      <c r="K244" s="95"/>
    </row>
    <row r="245" spans="1:11" ht="15.75" customHeight="1">
      <c r="A245" s="178"/>
      <c r="B245" s="96" t="s">
        <v>183</v>
      </c>
      <c r="C245" s="97"/>
      <c r="D245" s="94"/>
      <c r="E245" s="98" t="s">
        <v>406</v>
      </c>
      <c r="F245" s="94"/>
      <c r="G245" s="98" t="s">
        <v>406</v>
      </c>
      <c r="H245" s="94"/>
      <c r="I245" s="99"/>
      <c r="J245" s="99"/>
      <c r="K245" s="95"/>
    </row>
    <row r="246" spans="1:11" ht="15.75" customHeight="1">
      <c r="A246" s="178"/>
      <c r="B246" s="96" t="s">
        <v>184</v>
      </c>
      <c r="C246" s="97"/>
      <c r="D246" s="94"/>
      <c r="E246" s="98" t="s">
        <v>406</v>
      </c>
      <c r="F246" s="94"/>
      <c r="G246" s="98" t="s">
        <v>406</v>
      </c>
      <c r="H246" s="94"/>
      <c r="I246" s="99"/>
      <c r="J246" s="99"/>
      <c r="K246" s="95"/>
    </row>
    <row r="247" spans="1:11" ht="15.75" customHeight="1">
      <c r="A247" s="178"/>
      <c r="B247" s="96" t="s">
        <v>185</v>
      </c>
      <c r="C247" s="97"/>
      <c r="D247" s="94"/>
      <c r="E247" s="98" t="s">
        <v>406</v>
      </c>
      <c r="F247" s="94"/>
      <c r="G247" s="98" t="s">
        <v>406</v>
      </c>
      <c r="H247" s="94"/>
      <c r="I247" s="99"/>
      <c r="J247" s="99"/>
      <c r="K247" s="95"/>
    </row>
    <row r="248" spans="1:11" ht="15.75" customHeight="1">
      <c r="A248" s="178"/>
      <c r="B248" s="96" t="s">
        <v>186</v>
      </c>
      <c r="C248" s="97"/>
      <c r="D248" s="94"/>
      <c r="E248" s="98">
        <v>4500</v>
      </c>
      <c r="F248" s="94"/>
      <c r="G248" s="98">
        <v>6120</v>
      </c>
      <c r="H248" s="94"/>
      <c r="I248" s="99"/>
      <c r="J248" s="99"/>
      <c r="K248" s="95"/>
    </row>
    <row r="249" spans="1:11" ht="15.75" customHeight="1">
      <c r="A249" s="178"/>
      <c r="B249" s="96" t="s">
        <v>187</v>
      </c>
      <c r="C249" s="97"/>
      <c r="D249" s="94"/>
      <c r="E249" s="98">
        <v>4500</v>
      </c>
      <c r="F249" s="94"/>
      <c r="G249" s="98">
        <v>6113.64</v>
      </c>
      <c r="H249" s="94"/>
      <c r="I249" s="99"/>
      <c r="J249" s="99"/>
      <c r="K249" s="95"/>
    </row>
    <row r="250" spans="1:11" ht="8.1" customHeight="1">
      <c r="A250" s="88"/>
      <c r="B250" s="88"/>
      <c r="C250" s="88"/>
      <c r="D250" s="94"/>
      <c r="E250" s="94"/>
      <c r="F250" s="94"/>
      <c r="G250" s="94"/>
      <c r="H250" s="94"/>
      <c r="I250" s="95"/>
      <c r="J250" s="95"/>
      <c r="K250" s="95"/>
    </row>
    <row r="251" spans="1:11" ht="15.75" customHeight="1">
      <c r="B251" s="55"/>
      <c r="E251" s="55"/>
      <c r="G251" s="55"/>
      <c r="I251" s="55"/>
      <c r="J251" s="55"/>
    </row>
    <row r="252" spans="1:11" ht="15.75" customHeight="1"/>
    <row r="253" spans="1:11" ht="15.75" customHeight="1"/>
    <row r="254" spans="1:11" ht="15.75" customHeight="1"/>
    <row r="255" spans="1:11" ht="15.75" customHeight="1"/>
    <row r="256" spans="1:1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mergeCells count="42">
    <mergeCell ref="B198:B205"/>
    <mergeCell ref="B206:B213"/>
    <mergeCell ref="B214:B221"/>
    <mergeCell ref="B222:B229"/>
    <mergeCell ref="B230:B237"/>
    <mergeCell ref="A190:A249"/>
    <mergeCell ref="B15:B22"/>
    <mergeCell ref="B23:B30"/>
    <mergeCell ref="B31:B38"/>
    <mergeCell ref="B39:B46"/>
    <mergeCell ref="B47:B54"/>
    <mergeCell ref="B76:B83"/>
    <mergeCell ref="B84:B91"/>
    <mergeCell ref="B92:B99"/>
    <mergeCell ref="B100:B107"/>
    <mergeCell ref="B108:B115"/>
    <mergeCell ref="B137:B144"/>
    <mergeCell ref="B145:B152"/>
    <mergeCell ref="B153:B160"/>
    <mergeCell ref="B161:B168"/>
    <mergeCell ref="B169:B176"/>
    <mergeCell ref="AU4:AV4"/>
    <mergeCell ref="A1:A2"/>
    <mergeCell ref="A4:A66"/>
    <mergeCell ref="A68:A127"/>
    <mergeCell ref="A129:A188"/>
    <mergeCell ref="AP6:AP9"/>
    <mergeCell ref="AP10:AP13"/>
    <mergeCell ref="AP14:AP17"/>
    <mergeCell ref="AP18:AP25"/>
    <mergeCell ref="AQ6:AQ9"/>
    <mergeCell ref="AQ10:AQ13"/>
    <mergeCell ref="AQ14:AQ17"/>
    <mergeCell ref="AQ18:AQ21"/>
    <mergeCell ref="AQ22:AQ25"/>
    <mergeCell ref="I7:J30"/>
    <mergeCell ref="AP4:AR5"/>
    <mergeCell ref="B1:C1"/>
    <mergeCell ref="E1:G1"/>
    <mergeCell ref="I1:J1"/>
    <mergeCell ref="B2:C2"/>
    <mergeCell ref="AS4:AT4"/>
  </mergeCells>
  <phoneticPr fontId="22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8"/>
  <sheetViews>
    <sheetView workbookViewId="0">
      <selection activeCell="E8" sqref="E8"/>
    </sheetView>
  </sheetViews>
  <sheetFormatPr defaultColWidth="8.59765625" defaultRowHeight="14.4"/>
  <cols>
    <col min="1" max="1" width="8.59765625" style="85"/>
    <col min="2" max="2" width="10.59765625" style="85" customWidth="1"/>
    <col min="3" max="3" width="16.8984375" style="85" customWidth="1"/>
    <col min="4" max="16384" width="8.59765625" style="85"/>
  </cols>
  <sheetData>
    <row r="2" spans="2:3">
      <c r="B2" s="86"/>
      <c r="C2" s="87" t="s">
        <v>191</v>
      </c>
    </row>
    <row r="3" spans="2:3">
      <c r="B3" s="87" t="s">
        <v>192</v>
      </c>
      <c r="C3" s="152">
        <v>31.8</v>
      </c>
    </row>
    <row r="4" spans="2:3">
      <c r="B4" s="87" t="s">
        <v>193</v>
      </c>
      <c r="C4" s="152">
        <v>36.200000000000003</v>
      </c>
    </row>
    <row r="5" spans="2:3">
      <c r="B5" s="87" t="s">
        <v>194</v>
      </c>
      <c r="C5" s="152">
        <v>39.4</v>
      </c>
    </row>
    <row r="6" spans="2:3">
      <c r="B6" s="87" t="s">
        <v>195</v>
      </c>
      <c r="C6" s="152">
        <v>34.1</v>
      </c>
    </row>
    <row r="7" spans="2:3">
      <c r="B7" s="87" t="s">
        <v>196</v>
      </c>
      <c r="C7" s="152">
        <v>39.5</v>
      </c>
    </row>
    <row r="8" spans="2:3">
      <c r="B8" s="87" t="s">
        <v>197</v>
      </c>
      <c r="C8" s="152">
        <v>39.5</v>
      </c>
    </row>
  </sheetData>
  <phoneticPr fontId="22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pane xSplit="2" ySplit="1" topLeftCell="C2" activePane="bottomRight" state="frozenSplit"/>
      <selection pane="topRight"/>
      <selection pane="bottomLeft"/>
      <selection pane="bottomRight" activeCell="C23" sqref="C23"/>
    </sheetView>
  </sheetViews>
  <sheetFormatPr defaultColWidth="13.8984375" defaultRowHeight="15" customHeight="1"/>
  <cols>
    <col min="1" max="2" width="20.09765625" style="56" customWidth="1"/>
    <col min="3" max="3" width="18.5" style="56" customWidth="1"/>
    <col min="4" max="4" width="15.09765625" style="56" customWidth="1"/>
    <col min="5" max="17" width="7.59765625" style="56" customWidth="1"/>
    <col min="18" max="18" width="5.59765625" style="56" customWidth="1"/>
    <col min="19" max="19" width="11.59765625" style="56" customWidth="1"/>
    <col min="20" max="20" width="7.59765625" style="56" customWidth="1"/>
    <col min="21" max="21" width="18.5" style="56" customWidth="1"/>
    <col min="22" max="22" width="7.59765625" style="56" customWidth="1"/>
    <col min="23" max="23" width="18.09765625" style="56" customWidth="1"/>
    <col min="24" max="24" width="22" style="56" customWidth="1"/>
    <col min="25" max="25" width="23.8984375" style="56" customWidth="1"/>
    <col min="26" max="26" width="25.59765625" style="56" customWidth="1"/>
    <col min="27" max="16384" width="13.8984375" style="56"/>
  </cols>
  <sheetData>
    <row r="1" spans="1:26" ht="14.25" customHeight="1">
      <c r="A1" s="56" t="s">
        <v>198</v>
      </c>
    </row>
    <row r="2" spans="1:26" ht="14.25" customHeight="1">
      <c r="A2" s="208" t="s">
        <v>103</v>
      </c>
      <c r="B2" s="167"/>
      <c r="C2" s="78" t="s">
        <v>106</v>
      </c>
      <c r="D2" s="60" t="s">
        <v>199</v>
      </c>
      <c r="R2" s="58" t="s">
        <v>111</v>
      </c>
      <c r="S2" s="58" t="s">
        <v>112</v>
      </c>
      <c r="T2" s="58" t="s">
        <v>113</v>
      </c>
      <c r="U2" s="58" t="s">
        <v>114</v>
      </c>
      <c r="V2" s="58" t="s">
        <v>115</v>
      </c>
      <c r="W2" s="79" t="s">
        <v>200</v>
      </c>
      <c r="X2" s="79" t="s">
        <v>201</v>
      </c>
      <c r="Y2" s="79" t="s">
        <v>202</v>
      </c>
      <c r="Z2" s="79" t="s">
        <v>203</v>
      </c>
    </row>
    <row r="3" spans="1:26" ht="14.25" customHeight="1">
      <c r="A3" s="209" t="s">
        <v>204</v>
      </c>
      <c r="B3" s="80" t="s">
        <v>205</v>
      </c>
      <c r="C3" s="35">
        <v>558</v>
      </c>
      <c r="D3" s="81">
        <f>C3/60</f>
        <v>9.3000000000000007</v>
      </c>
      <c r="R3" s="79"/>
      <c r="S3" s="79"/>
      <c r="T3" s="79"/>
      <c r="U3" s="79"/>
      <c r="V3" s="79"/>
      <c r="W3" s="82">
        <f>+D3</f>
        <v>9.3000000000000007</v>
      </c>
      <c r="X3" s="82">
        <f>+D4</f>
        <v>18.399999999999999</v>
      </c>
      <c r="Y3" s="82">
        <f>+D5</f>
        <v>15.6</v>
      </c>
      <c r="Z3" s="82">
        <f>+D6</f>
        <v>11.116666666666667</v>
      </c>
    </row>
    <row r="4" spans="1:26" ht="14.25" customHeight="1">
      <c r="A4" s="210"/>
      <c r="B4" s="80" t="s">
        <v>206</v>
      </c>
      <c r="C4" s="35">
        <v>1104</v>
      </c>
      <c r="D4" s="81">
        <f>C4/60</f>
        <v>18.399999999999999</v>
      </c>
      <c r="R4" s="79"/>
      <c r="S4" s="79"/>
      <c r="T4" s="79"/>
      <c r="U4" s="79"/>
      <c r="V4" s="79"/>
      <c r="W4" s="82">
        <f>+D10</f>
        <v>0</v>
      </c>
      <c r="X4" s="82">
        <f>+D11</f>
        <v>0</v>
      </c>
      <c r="Y4" s="82">
        <f>+D12</f>
        <v>0</v>
      </c>
      <c r="Z4" s="82">
        <f>+D13</f>
        <v>0</v>
      </c>
    </row>
    <row r="5" spans="1:26" ht="14.25" customHeight="1">
      <c r="A5" s="211"/>
      <c r="B5" s="80" t="s">
        <v>207</v>
      </c>
      <c r="C5" s="35">
        <v>936</v>
      </c>
      <c r="D5" s="81">
        <f>C5/60</f>
        <v>15.6</v>
      </c>
    </row>
    <row r="6" spans="1:26" ht="14.25" customHeight="1">
      <c r="A6" s="83" t="s">
        <v>208</v>
      </c>
      <c r="B6" s="80" t="s">
        <v>407</v>
      </c>
      <c r="C6" s="35">
        <v>667</v>
      </c>
      <c r="D6" s="81">
        <f>C6/60</f>
        <v>11.116666666666667</v>
      </c>
    </row>
    <row r="7" spans="1:26" ht="14.85" customHeight="1"/>
    <row r="8" spans="1:26" ht="14.85" customHeight="1">
      <c r="A8" s="56" t="s">
        <v>210</v>
      </c>
    </row>
    <row r="9" spans="1:26" ht="14.85" customHeight="1">
      <c r="A9" s="208" t="s">
        <v>103</v>
      </c>
      <c r="B9" s="167"/>
      <c r="C9" s="78" t="s">
        <v>106</v>
      </c>
      <c r="D9" s="60" t="s">
        <v>199</v>
      </c>
    </row>
    <row r="10" spans="1:26" ht="14.85" customHeight="1">
      <c r="A10" s="209" t="s">
        <v>204</v>
      </c>
      <c r="B10" s="80" t="s">
        <v>205</v>
      </c>
      <c r="C10" s="35"/>
      <c r="D10" s="81">
        <f>C10/60</f>
        <v>0</v>
      </c>
    </row>
    <row r="11" spans="1:26" ht="14.85" customHeight="1">
      <c r="A11" s="210"/>
      <c r="B11" s="80" t="s">
        <v>206</v>
      </c>
      <c r="C11" s="35"/>
      <c r="D11" s="81">
        <f>C11/60</f>
        <v>0</v>
      </c>
    </row>
    <row r="12" spans="1:26" ht="14.85" customHeight="1">
      <c r="A12" s="211"/>
      <c r="B12" s="80" t="s">
        <v>207</v>
      </c>
      <c r="C12" s="35"/>
      <c r="D12" s="81">
        <f>C12/60</f>
        <v>0</v>
      </c>
    </row>
    <row r="13" spans="1:26" ht="14.85" customHeight="1">
      <c r="A13" s="83" t="s">
        <v>208</v>
      </c>
      <c r="B13" s="80" t="s">
        <v>209</v>
      </c>
      <c r="C13" s="35"/>
      <c r="D13" s="81">
        <f>C13/60</f>
        <v>0</v>
      </c>
    </row>
    <row r="14" spans="1:26" ht="14.85" customHeight="1"/>
    <row r="15" spans="1:26" ht="14.85" customHeight="1"/>
    <row r="16" spans="1:26" ht="14.85" customHeight="1"/>
    <row r="17" spans="3:3" ht="14.85" customHeight="1"/>
    <row r="18" spans="3:3" ht="58.5" customHeight="1">
      <c r="C18" s="84" t="s">
        <v>104</v>
      </c>
    </row>
    <row r="19" spans="3:3" ht="14.85" customHeight="1"/>
    <row r="20" spans="3:3" ht="14.85" customHeight="1"/>
    <row r="21" spans="3:3" ht="15.75" customHeight="1"/>
    <row r="22" spans="3:3" ht="15.75" customHeight="1"/>
    <row r="23" spans="3:3" ht="15.75" customHeight="1"/>
    <row r="24" spans="3:3" ht="15.75" customHeight="1"/>
    <row r="25" spans="3:3" ht="15.75" customHeight="1"/>
    <row r="26" spans="3:3" ht="15.75" customHeight="1"/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2"/>
    <mergeCell ref="A9:B9"/>
    <mergeCell ref="A3:A5"/>
    <mergeCell ref="A10:A12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451"/>
  <sheetViews>
    <sheetView zoomScale="80" zoomScaleNormal="80" workbookViewId="0">
      <selection activeCell="T33" sqref="T33"/>
    </sheetView>
  </sheetViews>
  <sheetFormatPr defaultColWidth="13.8984375" defaultRowHeight="14.4"/>
  <cols>
    <col min="1" max="1" width="30.59765625" style="56" customWidth="1"/>
    <col min="2" max="2" width="35.59765625" style="56" customWidth="1"/>
    <col min="3" max="3" width="1" style="56" customWidth="1"/>
    <col min="4" max="4" width="10.09765625" style="56" customWidth="1"/>
    <col min="5" max="7" width="9.59765625" style="56" customWidth="1"/>
    <col min="8" max="8" width="1" style="56" customWidth="1"/>
    <col min="9" max="12" width="9.59765625" style="56" customWidth="1"/>
    <col min="13" max="13" width="1" style="56" customWidth="1"/>
    <col min="14" max="17" width="9.59765625" style="56" customWidth="1"/>
    <col min="18" max="18" width="1" style="56" customWidth="1"/>
    <col min="19" max="19" width="20.3984375" style="56" customWidth="1"/>
    <col min="20" max="20" width="42.09765625" style="56" customWidth="1"/>
    <col min="21" max="21" width="7.59765625" style="56" customWidth="1"/>
    <col min="22" max="28" width="13.8984375" style="56"/>
    <col min="29" max="29" width="29.59765625" style="56" customWidth="1"/>
    <col min="30" max="30" width="27.09765625" style="56" customWidth="1"/>
    <col min="31" max="32" width="13.8984375" style="56"/>
    <col min="33" max="33" width="16.09765625" style="56" customWidth="1"/>
    <col min="34" max="34" width="13.8984375" style="56"/>
    <col min="35" max="35" width="19.5" style="56" customWidth="1"/>
    <col min="36" max="36" width="18.5" style="56" customWidth="1"/>
    <col min="37" max="37" width="13.8984375" style="56"/>
    <col min="38" max="38" width="19.09765625" style="56" customWidth="1"/>
    <col min="39" max="39" width="13.8984375" style="56"/>
    <col min="40" max="40" width="21.3984375" style="56" customWidth="1"/>
    <col min="41" max="41" width="17.3984375" style="56" customWidth="1"/>
    <col min="42" max="16384" width="13.8984375" style="56"/>
  </cols>
  <sheetData>
    <row r="1" spans="1:65" ht="36" customHeight="1">
      <c r="A1" s="225" t="s">
        <v>211</v>
      </c>
      <c r="B1" s="225"/>
      <c r="C1" s="34"/>
      <c r="D1" s="226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57"/>
      <c r="W1" s="58" t="s">
        <v>111</v>
      </c>
      <c r="X1" s="58" t="s">
        <v>112</v>
      </c>
      <c r="Y1" s="58" t="s">
        <v>113</v>
      </c>
      <c r="Z1" s="58" t="s">
        <v>114</v>
      </c>
      <c r="AA1" s="58" t="s">
        <v>115</v>
      </c>
      <c r="AB1" s="58" t="s">
        <v>116</v>
      </c>
      <c r="AC1" s="58" t="s">
        <v>212</v>
      </c>
      <c r="AD1" s="59" t="s">
        <v>213</v>
      </c>
      <c r="AE1" s="59" t="s">
        <v>214</v>
      </c>
      <c r="AF1" s="59" t="s">
        <v>215</v>
      </c>
      <c r="AG1" s="59" t="s">
        <v>216</v>
      </c>
      <c r="AH1" s="59" t="s">
        <v>217</v>
      </c>
      <c r="AI1" s="59" t="s">
        <v>218</v>
      </c>
      <c r="AJ1" s="59" t="s">
        <v>219</v>
      </c>
      <c r="AK1" s="59" t="s">
        <v>220</v>
      </c>
      <c r="AL1" s="59" t="s">
        <v>221</v>
      </c>
      <c r="AM1" s="59" t="s">
        <v>222</v>
      </c>
      <c r="AN1" s="59" t="s">
        <v>223</v>
      </c>
      <c r="AO1" s="59" t="s">
        <v>224</v>
      </c>
      <c r="AP1" s="59" t="s">
        <v>225</v>
      </c>
      <c r="AQ1" s="59" t="s">
        <v>226</v>
      </c>
      <c r="AR1" s="59" t="s">
        <v>227</v>
      </c>
      <c r="AS1" s="59" t="s">
        <v>228</v>
      </c>
      <c r="AT1" s="59" t="s">
        <v>229</v>
      </c>
      <c r="AU1" s="59" t="s">
        <v>230</v>
      </c>
      <c r="AV1" s="59" t="s">
        <v>231</v>
      </c>
      <c r="AW1" s="59" t="s">
        <v>232</v>
      </c>
      <c r="AX1" s="59" t="s">
        <v>233</v>
      </c>
      <c r="AY1" s="59" t="s">
        <v>234</v>
      </c>
      <c r="AZ1" s="59" t="s">
        <v>235</v>
      </c>
      <c r="BA1" s="59" t="s">
        <v>236</v>
      </c>
      <c r="BB1" s="59" t="s">
        <v>237</v>
      </c>
      <c r="BC1" s="59" t="s">
        <v>238</v>
      </c>
      <c r="BD1" s="59" t="s">
        <v>239</v>
      </c>
      <c r="BE1" s="59" t="s">
        <v>240</v>
      </c>
      <c r="BF1" s="59" t="s">
        <v>241</v>
      </c>
      <c r="BG1" s="59" t="s">
        <v>242</v>
      </c>
      <c r="BH1" s="59" t="s">
        <v>243</v>
      </c>
      <c r="BI1" s="59" t="s">
        <v>244</v>
      </c>
      <c r="BJ1" s="59" t="s">
        <v>245</v>
      </c>
      <c r="BK1" s="59" t="s">
        <v>246</v>
      </c>
      <c r="BL1" s="59" t="s">
        <v>247</v>
      </c>
      <c r="BM1" s="59" t="s">
        <v>248</v>
      </c>
    </row>
    <row r="2" spans="1:65" ht="28.8">
      <c r="A2" s="225" t="s">
        <v>249</v>
      </c>
      <c r="B2" s="225"/>
      <c r="C2" s="34"/>
      <c r="D2" s="225" t="s">
        <v>250</v>
      </c>
      <c r="E2" s="225"/>
      <c r="F2" s="225"/>
      <c r="G2" s="60" t="s">
        <v>251</v>
      </c>
      <c r="H2" s="34"/>
      <c r="I2" s="225" t="s">
        <v>106</v>
      </c>
      <c r="J2" s="225"/>
      <c r="K2" s="225"/>
      <c r="L2" s="60" t="s">
        <v>251</v>
      </c>
      <c r="M2" s="34"/>
      <c r="N2" s="225" t="s">
        <v>107</v>
      </c>
      <c r="O2" s="225"/>
      <c r="P2" s="225"/>
      <c r="Q2" s="60" t="s">
        <v>251</v>
      </c>
      <c r="R2" s="57"/>
      <c r="T2" s="61" t="s">
        <v>104</v>
      </c>
      <c r="W2" s="58"/>
      <c r="X2" s="58"/>
      <c r="Y2" s="58"/>
      <c r="Z2" s="58"/>
      <c r="AA2" s="58"/>
      <c r="AB2" s="58" t="s">
        <v>250</v>
      </c>
      <c r="AC2" s="59" t="s">
        <v>252</v>
      </c>
      <c r="AD2" s="62">
        <f>+G3</f>
        <v>22187</v>
      </c>
      <c r="AE2" s="62">
        <f>+G4</f>
        <v>25024.333333333332</v>
      </c>
      <c r="AF2" s="62">
        <f>+G5</f>
        <v>33022.666666666664</v>
      </c>
      <c r="AG2" s="62">
        <f>+G6</f>
        <v>9474</v>
      </c>
      <c r="AH2" s="62">
        <f>+G8</f>
        <v>4388</v>
      </c>
      <c r="AI2" s="62">
        <f>+G11</f>
        <v>9547</v>
      </c>
      <c r="AJ2" s="62">
        <f>+G12</f>
        <v>9507.6666666666661</v>
      </c>
      <c r="AK2" s="62">
        <f>+G13</f>
        <v>9781.3333333333339</v>
      </c>
      <c r="AL2" s="62">
        <f>+G15</f>
        <v>1390.3333333333333</v>
      </c>
      <c r="AM2" s="62" t="e">
        <f>#REF!</f>
        <v>#REF!</v>
      </c>
      <c r="AN2" s="62" t="e">
        <f>#REF!</f>
        <v>#REF!</v>
      </c>
      <c r="AO2" s="62" t="e">
        <f>#REF!</f>
        <v>#REF!</v>
      </c>
      <c r="AP2" s="62">
        <f>G18</f>
        <v>1970.1000000000001</v>
      </c>
      <c r="AQ2" s="62">
        <f>G17</f>
        <v>23665.566666666669</v>
      </c>
      <c r="AR2" s="62">
        <f>+G18</f>
        <v>1970.1000000000001</v>
      </c>
      <c r="AS2" s="62">
        <f>+G20</f>
        <v>1301.8000000000002</v>
      </c>
      <c r="AT2" s="62">
        <f>+G60</f>
        <v>264.33333333333331</v>
      </c>
      <c r="AU2" s="62">
        <f>+G47</f>
        <v>8770</v>
      </c>
      <c r="AV2" s="62">
        <f>+G48</f>
        <v>11208</v>
      </c>
      <c r="AW2" s="62">
        <f>+G55</f>
        <v>14310.333333333334</v>
      </c>
      <c r="AX2" s="62">
        <f>+G52</f>
        <v>11413</v>
      </c>
      <c r="AY2" s="62">
        <f>+G24</f>
        <v>123057.33333333333</v>
      </c>
      <c r="AZ2" s="62">
        <f>+G25</f>
        <v>214704.33333333334</v>
      </c>
      <c r="BA2" s="62">
        <f>+G26</f>
        <v>153325</v>
      </c>
      <c r="BB2" s="62">
        <f>+G27</f>
        <v>141.79999999999998</v>
      </c>
      <c r="BC2" s="62">
        <f>+G29</f>
        <v>6156.6000000000013</v>
      </c>
      <c r="BD2" s="62">
        <f>+G30</f>
        <v>5380.3</v>
      </c>
      <c r="BE2" s="62">
        <f>+G33</f>
        <v>596.73333333333335</v>
      </c>
      <c r="BF2" s="58">
        <f>+G34</f>
        <v>371.16666666666669</v>
      </c>
      <c r="BG2" s="62" t="e">
        <f>#REF!</f>
        <v>#REF!</v>
      </c>
      <c r="BH2" s="62" t="e">
        <f>#REF!</f>
        <v>#REF!</v>
      </c>
      <c r="BI2" s="62" t="e">
        <f>#REF!</f>
        <v>#REF!</v>
      </c>
      <c r="BJ2" s="62" t="e">
        <f>#REF!</f>
        <v>#REF!</v>
      </c>
      <c r="BK2" s="62" t="e">
        <f>#REF!</f>
        <v>#REF!</v>
      </c>
      <c r="BL2" s="62" t="e">
        <f>#REF!</f>
        <v>#REF!</v>
      </c>
      <c r="BM2" s="62" t="e">
        <f>#REF!</f>
        <v>#REF!</v>
      </c>
    </row>
    <row r="3" spans="1:65" ht="15" customHeight="1">
      <c r="A3" s="223" t="s">
        <v>253</v>
      </c>
      <c r="B3" s="33" t="s">
        <v>254</v>
      </c>
      <c r="C3" s="34"/>
      <c r="D3" s="148">
        <v>22084</v>
      </c>
      <c r="E3" s="148">
        <v>22265</v>
      </c>
      <c r="F3" s="148">
        <v>22212</v>
      </c>
      <c r="G3" s="136">
        <f>AVERAGE(D3:F3)</f>
        <v>22187</v>
      </c>
      <c r="H3" s="137"/>
      <c r="I3" s="148">
        <v>23262</v>
      </c>
      <c r="J3" s="148">
        <v>23163</v>
      </c>
      <c r="K3" s="148">
        <v>23202</v>
      </c>
      <c r="L3" s="136">
        <f>AVERAGE(I3:K3)</f>
        <v>23209</v>
      </c>
      <c r="M3" s="137"/>
      <c r="N3" s="148">
        <v>24917</v>
      </c>
      <c r="O3" s="148">
        <v>24949</v>
      </c>
      <c r="P3" s="148">
        <v>25042</v>
      </c>
      <c r="Q3" s="136">
        <f>AVERAGE(N3:P3)</f>
        <v>24969.333333333332</v>
      </c>
      <c r="R3" s="38"/>
      <c r="W3" s="58"/>
      <c r="X3" s="58"/>
      <c r="Y3" s="58"/>
      <c r="Z3" s="58"/>
      <c r="AA3" s="58"/>
      <c r="AB3" s="58" t="s">
        <v>106</v>
      </c>
      <c r="AC3" s="59" t="s">
        <v>252</v>
      </c>
      <c r="AD3" s="62">
        <f>+L3</f>
        <v>23209</v>
      </c>
      <c r="AE3" s="62">
        <f>+L4</f>
        <v>26006.333333333332</v>
      </c>
      <c r="AF3" s="62">
        <f>+L5</f>
        <v>34638.666666666664</v>
      </c>
      <c r="AG3" s="62">
        <f>+L6</f>
        <v>10087.666666666666</v>
      </c>
      <c r="AH3" s="62">
        <f>+L8</f>
        <v>4444.666666666667</v>
      </c>
      <c r="AI3" s="62">
        <f>+L11</f>
        <v>9988.3333333333339</v>
      </c>
      <c r="AJ3" s="62">
        <f>+L12</f>
        <v>9969.3333333333339</v>
      </c>
      <c r="AK3" s="62">
        <f>+L13</f>
        <v>10103</v>
      </c>
      <c r="AL3" s="62">
        <f>+L15</f>
        <v>1392.6666666666667</v>
      </c>
      <c r="AM3" s="62" t="e">
        <f>#REF!</f>
        <v>#REF!</v>
      </c>
      <c r="AN3" s="62" t="e">
        <f>#REF!</f>
        <v>#REF!</v>
      </c>
      <c r="AO3" s="62" t="e">
        <f>#REF!</f>
        <v>#REF!</v>
      </c>
      <c r="AP3" s="62">
        <f>L18</f>
        <v>1979.0666666666666</v>
      </c>
      <c r="AQ3" s="62">
        <f>L17</f>
        <v>24934.233333333334</v>
      </c>
      <c r="AR3" s="62">
        <f>+L18</f>
        <v>1979.0666666666666</v>
      </c>
      <c r="AS3" s="62">
        <f>+L20</f>
        <v>1350.4666666666669</v>
      </c>
      <c r="AT3" s="62">
        <f>+L60</f>
        <v>255.33333333333334</v>
      </c>
      <c r="AU3" s="62">
        <f>+L47</f>
        <v>9070.3333333333339</v>
      </c>
      <c r="AV3" s="62">
        <f>+L48</f>
        <v>11434.333333333334</v>
      </c>
      <c r="AW3" s="62">
        <f>+L55</f>
        <v>14795.666666666666</v>
      </c>
      <c r="AX3" s="62">
        <f>+L52</f>
        <v>11968.666666666666</v>
      </c>
      <c r="AY3" s="62">
        <f>+L24</f>
        <v>123672.33333333333</v>
      </c>
      <c r="AZ3" s="62">
        <f>+L25</f>
        <v>215009</v>
      </c>
      <c r="BA3" s="62">
        <f>+L26</f>
        <v>153800.33333333334</v>
      </c>
      <c r="BB3" s="62">
        <f>+L27</f>
        <v>140.56666666666666</v>
      </c>
      <c r="BC3" s="62">
        <f>+L29</f>
        <v>6092.5333333333338</v>
      </c>
      <c r="BD3" s="62">
        <f>+L30</f>
        <v>5378.833333333333</v>
      </c>
      <c r="BE3" s="62">
        <f>+L33</f>
        <v>609.86666666666667</v>
      </c>
      <c r="BF3" s="58">
        <f>+L34</f>
        <v>371.90000000000003</v>
      </c>
      <c r="BG3" s="62" t="e">
        <f>#REF!</f>
        <v>#REF!</v>
      </c>
      <c r="BH3" s="62" t="e">
        <f>#REF!</f>
        <v>#REF!</v>
      </c>
      <c r="BI3" s="62" t="e">
        <f>#REF!</f>
        <v>#REF!</v>
      </c>
      <c r="BJ3" s="62" t="e">
        <f>#REF!</f>
        <v>#REF!</v>
      </c>
      <c r="BK3" s="62" t="e">
        <f>#REF!</f>
        <v>#REF!</v>
      </c>
      <c r="BL3" s="62" t="e">
        <f>#REF!</f>
        <v>#REF!</v>
      </c>
      <c r="BM3" s="62" t="e">
        <f>#REF!</f>
        <v>#REF!</v>
      </c>
    </row>
    <row r="4" spans="1:65" ht="15" customHeight="1">
      <c r="A4" s="223"/>
      <c r="B4" s="33" t="s">
        <v>255</v>
      </c>
      <c r="C4" s="34"/>
      <c r="D4" s="135">
        <v>25047</v>
      </c>
      <c r="E4" s="135">
        <v>25083</v>
      </c>
      <c r="F4" s="135">
        <v>24943</v>
      </c>
      <c r="G4" s="136">
        <f t="shared" ref="G4:G6" si="0">AVERAGE(D4:F4)</f>
        <v>25024.333333333332</v>
      </c>
      <c r="H4" s="137"/>
      <c r="I4" s="135">
        <v>25891</v>
      </c>
      <c r="J4" s="135">
        <v>26084</v>
      </c>
      <c r="K4" s="135">
        <v>26044</v>
      </c>
      <c r="L4" s="136">
        <f t="shared" ref="L4:L6" si="1">AVERAGE(I4:K4)</f>
        <v>26006.333333333332</v>
      </c>
      <c r="M4" s="137"/>
      <c r="N4" s="135">
        <v>27790</v>
      </c>
      <c r="O4" s="135">
        <v>27660</v>
      </c>
      <c r="P4" s="135">
        <v>27848</v>
      </c>
      <c r="Q4" s="136">
        <f t="shared" ref="Q4:Q6" si="2">AVERAGE(N4:P4)</f>
        <v>27766</v>
      </c>
      <c r="R4" s="38"/>
      <c r="W4" s="58"/>
      <c r="X4" s="58"/>
      <c r="Y4" s="58"/>
      <c r="Z4" s="58"/>
      <c r="AA4" s="58"/>
      <c r="AB4" s="58" t="s">
        <v>107</v>
      </c>
      <c r="AC4" s="59" t="s">
        <v>252</v>
      </c>
      <c r="AD4" s="62">
        <f>+Q3</f>
        <v>24969.333333333332</v>
      </c>
      <c r="AE4" s="62">
        <f>+Q4</f>
        <v>27766</v>
      </c>
      <c r="AF4" s="62">
        <f>+Q5</f>
        <v>35805</v>
      </c>
      <c r="AG4" s="62">
        <f>+Q6</f>
        <v>11304.333333333334</v>
      </c>
      <c r="AH4" s="62">
        <f>+Q8</f>
        <v>4617.333333333333</v>
      </c>
      <c r="AI4" s="62">
        <f>+Q11</f>
        <v>10837.666666666666</v>
      </c>
      <c r="AJ4" s="62">
        <f>+Q12</f>
        <v>10915.666666666666</v>
      </c>
      <c r="AK4" s="62">
        <f>+Q13</f>
        <v>10419</v>
      </c>
      <c r="AL4" s="62">
        <f>+Q15</f>
        <v>1398.6666666666667</v>
      </c>
      <c r="AM4" s="62" t="e">
        <f>#REF!</f>
        <v>#REF!</v>
      </c>
      <c r="AN4" s="62" t="e">
        <f>#REF!</f>
        <v>#REF!</v>
      </c>
      <c r="AO4" s="62" t="e">
        <f>#REF!</f>
        <v>#REF!</v>
      </c>
      <c r="AP4" s="62">
        <f>Q18</f>
        <v>1981.2333333333333</v>
      </c>
      <c r="AQ4" s="62">
        <f>Q17</f>
        <v>27221.733333333334</v>
      </c>
      <c r="AR4" s="62">
        <f>+Q18</f>
        <v>1981.2333333333333</v>
      </c>
      <c r="AS4" s="62">
        <f>+Q20</f>
        <v>1427.1666666666667</v>
      </c>
      <c r="AT4" s="62">
        <f>+Q60</f>
        <v>237.33333333333334</v>
      </c>
      <c r="AU4" s="62">
        <f>+Q47</f>
        <v>9144</v>
      </c>
      <c r="AV4" s="62">
        <f>+Q48</f>
        <v>11433.666666666666</v>
      </c>
      <c r="AW4" s="62">
        <f>+Q55</f>
        <v>15203</v>
      </c>
      <c r="AX4" s="62">
        <f>+Q52</f>
        <v>11361</v>
      </c>
      <c r="AY4" s="62">
        <f>+Q24</f>
        <v>123524.33333333333</v>
      </c>
      <c r="AZ4" s="62">
        <f>+Q25</f>
        <v>215109.66666666666</v>
      </c>
      <c r="BA4" s="62">
        <f>+Q26</f>
        <v>153376.66666666666</v>
      </c>
      <c r="BB4" s="62">
        <f>+Q27</f>
        <v>139.13333333333333</v>
      </c>
      <c r="BC4" s="62">
        <f>+Q29</f>
        <v>6146.9000000000005</v>
      </c>
      <c r="BD4" s="62">
        <f>+Q30</f>
        <v>5382.2333333333336</v>
      </c>
      <c r="BE4" s="62">
        <f>+Q33</f>
        <v>604.66666666666663</v>
      </c>
      <c r="BF4" s="58">
        <f>+Q34</f>
        <v>371.26666666666665</v>
      </c>
      <c r="BG4" s="62" t="e">
        <f>#REF!</f>
        <v>#REF!</v>
      </c>
      <c r="BH4" s="62" t="e">
        <f>#REF!</f>
        <v>#REF!</v>
      </c>
      <c r="BI4" s="62" t="e">
        <f>#REF!</f>
        <v>#REF!</v>
      </c>
      <c r="BJ4" s="62" t="e">
        <f>#REF!</f>
        <v>#REF!</v>
      </c>
      <c r="BK4" s="62" t="e">
        <f>#REF!</f>
        <v>#REF!</v>
      </c>
      <c r="BL4" s="62" t="e">
        <f>#REF!</f>
        <v>#REF!</v>
      </c>
      <c r="BM4" s="62" t="e">
        <f>#REF!</f>
        <v>#REF!</v>
      </c>
    </row>
    <row r="5" spans="1:65" ht="15" customHeight="1">
      <c r="A5" s="223"/>
      <c r="B5" s="33" t="s">
        <v>256</v>
      </c>
      <c r="C5" s="34"/>
      <c r="D5" s="135">
        <v>31899</v>
      </c>
      <c r="E5" s="135">
        <v>33635</v>
      </c>
      <c r="F5" s="135">
        <v>33534</v>
      </c>
      <c r="G5" s="136">
        <f t="shared" si="0"/>
        <v>33022.666666666664</v>
      </c>
      <c r="H5" s="137"/>
      <c r="I5" s="135">
        <v>35729</v>
      </c>
      <c r="J5" s="135">
        <v>34099</v>
      </c>
      <c r="K5" s="135">
        <v>34088</v>
      </c>
      <c r="L5" s="136">
        <f t="shared" si="1"/>
        <v>34638.666666666664</v>
      </c>
      <c r="M5" s="137"/>
      <c r="N5" s="135">
        <v>34801</v>
      </c>
      <c r="O5" s="135">
        <v>36131</v>
      </c>
      <c r="P5" s="135">
        <v>36483</v>
      </c>
      <c r="Q5" s="136">
        <f t="shared" si="2"/>
        <v>35805</v>
      </c>
      <c r="R5" s="38"/>
    </row>
    <row r="6" spans="1:65" ht="15" customHeight="1">
      <c r="A6" s="223"/>
      <c r="B6" s="33" t="s">
        <v>257</v>
      </c>
      <c r="C6" s="34"/>
      <c r="D6" s="135">
        <v>9403</v>
      </c>
      <c r="E6" s="135">
        <v>9476</v>
      </c>
      <c r="F6" s="135">
        <v>9543</v>
      </c>
      <c r="G6" s="136">
        <f t="shared" si="0"/>
        <v>9474</v>
      </c>
      <c r="H6" s="137"/>
      <c r="I6" s="135">
        <v>10182</v>
      </c>
      <c r="J6" s="135">
        <v>9981</v>
      </c>
      <c r="K6" s="135">
        <v>10100</v>
      </c>
      <c r="L6" s="136">
        <f t="shared" si="1"/>
        <v>10087.666666666666</v>
      </c>
      <c r="M6" s="137"/>
      <c r="N6" s="135">
        <v>11319</v>
      </c>
      <c r="O6" s="135">
        <v>11344</v>
      </c>
      <c r="P6" s="135">
        <v>11250</v>
      </c>
      <c r="Q6" s="136">
        <f t="shared" si="2"/>
        <v>11304.333333333334</v>
      </c>
      <c r="R6" s="38"/>
    </row>
    <row r="7" spans="1:65" ht="8.1" customHeight="1">
      <c r="A7" s="39"/>
      <c r="B7" s="40"/>
      <c r="C7" s="34"/>
      <c r="D7" s="138"/>
      <c r="E7" s="138"/>
      <c r="F7" s="138"/>
      <c r="G7" s="139"/>
      <c r="H7" s="138"/>
      <c r="I7" s="138"/>
      <c r="J7" s="138"/>
      <c r="K7" s="138"/>
      <c r="L7" s="139"/>
      <c r="M7" s="138"/>
      <c r="N7" s="138"/>
      <c r="O7" s="138"/>
      <c r="P7" s="138"/>
      <c r="Q7" s="139"/>
      <c r="R7" s="41"/>
    </row>
    <row r="8" spans="1:65" ht="15" customHeight="1">
      <c r="A8" s="223" t="s">
        <v>258</v>
      </c>
      <c r="B8" s="33" t="s">
        <v>259</v>
      </c>
      <c r="C8" s="34"/>
      <c r="D8" s="148">
        <v>4367</v>
      </c>
      <c r="E8" s="148">
        <v>4386</v>
      </c>
      <c r="F8" s="148">
        <v>4411</v>
      </c>
      <c r="G8" s="136">
        <f>AVERAGE(D8:F8)</f>
        <v>4388</v>
      </c>
      <c r="H8" s="137"/>
      <c r="I8" s="148">
        <v>4458</v>
      </c>
      <c r="J8" s="148">
        <v>4411</v>
      </c>
      <c r="K8" s="148">
        <v>4465</v>
      </c>
      <c r="L8" s="136">
        <f>AVERAGE(I8:K8)</f>
        <v>4444.666666666667</v>
      </c>
      <c r="M8" s="137"/>
      <c r="N8" s="148">
        <v>4600</v>
      </c>
      <c r="O8" s="148">
        <v>4636</v>
      </c>
      <c r="P8" s="148">
        <v>4616</v>
      </c>
      <c r="Q8" s="136">
        <f>AVERAGE(N8:P8)</f>
        <v>4617.333333333333</v>
      </c>
      <c r="R8" s="38"/>
      <c r="W8" s="63" t="s">
        <v>111</v>
      </c>
      <c r="X8" s="63" t="s">
        <v>112</v>
      </c>
      <c r="Y8" s="63" t="s">
        <v>113</v>
      </c>
      <c r="Z8" s="63" t="s">
        <v>114</v>
      </c>
      <c r="AA8" s="63" t="s">
        <v>115</v>
      </c>
      <c r="AB8" s="63" t="s">
        <v>116</v>
      </c>
      <c r="AC8" s="63" t="s">
        <v>260</v>
      </c>
      <c r="AD8" s="63" t="s">
        <v>212</v>
      </c>
      <c r="AE8" s="63" t="s">
        <v>82</v>
      </c>
      <c r="AF8" s="63" t="s">
        <v>261</v>
      </c>
      <c r="AG8" s="63" t="s">
        <v>262</v>
      </c>
      <c r="AH8" s="63" t="s">
        <v>263</v>
      </c>
      <c r="AI8" s="63" t="s">
        <v>83</v>
      </c>
      <c r="AJ8" s="63" t="s">
        <v>264</v>
      </c>
      <c r="AK8" s="63" t="s">
        <v>265</v>
      </c>
      <c r="AL8" s="63" t="s">
        <v>266</v>
      </c>
      <c r="AM8" s="63" t="s">
        <v>84</v>
      </c>
    </row>
    <row r="9" spans="1:65" ht="15" customHeight="1">
      <c r="A9" s="223"/>
      <c r="B9" s="33" t="s">
        <v>255</v>
      </c>
      <c r="C9" s="34"/>
      <c r="D9" s="135">
        <v>4367</v>
      </c>
      <c r="E9" s="135">
        <v>4386</v>
      </c>
      <c r="F9" s="135">
        <v>4411</v>
      </c>
      <c r="G9" s="136">
        <f>AVERAGE(D9:F9)</f>
        <v>4388</v>
      </c>
      <c r="H9" s="137"/>
      <c r="I9" s="135">
        <v>4458</v>
      </c>
      <c r="J9" s="135">
        <v>4411</v>
      </c>
      <c r="K9" s="135">
        <v>4465</v>
      </c>
      <c r="L9" s="136">
        <f>AVERAGE(I9:K9)</f>
        <v>4444.666666666667</v>
      </c>
      <c r="M9" s="137"/>
      <c r="N9" s="135">
        <v>4600</v>
      </c>
      <c r="O9" s="135">
        <v>4636</v>
      </c>
      <c r="P9" s="135">
        <v>4616</v>
      </c>
      <c r="Q9" s="136">
        <f>AVERAGE(N9:P9)</f>
        <v>4617.333333333333</v>
      </c>
      <c r="R9" s="38"/>
      <c r="W9" s="63"/>
      <c r="X9" s="63"/>
      <c r="Y9" s="63"/>
      <c r="Z9" s="63"/>
      <c r="AA9" s="63"/>
      <c r="AB9" s="58" t="s">
        <v>250</v>
      </c>
      <c r="AC9" s="58" t="s">
        <v>267</v>
      </c>
      <c r="AD9" s="59" t="s">
        <v>252</v>
      </c>
      <c r="AE9" s="64">
        <f>+G62</f>
        <v>282.66666666666669</v>
      </c>
      <c r="AF9" s="64" t="e">
        <f>+#REF!</f>
        <v>#REF!</v>
      </c>
      <c r="AG9" s="64">
        <f>+G75</f>
        <v>100.92666666666668</v>
      </c>
      <c r="AH9" s="64" t="str">
        <f>+G88</f>
        <v>--</v>
      </c>
      <c r="AI9" s="64">
        <f>+G101</f>
        <v>95.716666666666654</v>
      </c>
      <c r="AJ9" s="64">
        <f>+G141</f>
        <v>146.93333333333331</v>
      </c>
      <c r="AK9" s="64">
        <f>+G150</f>
        <v>97.466666666666654</v>
      </c>
      <c r="AL9" s="64" t="e">
        <f>+#REF!</f>
        <v>#REF!</v>
      </c>
      <c r="AM9" s="64">
        <f>+G163</f>
        <v>155.56666666666663</v>
      </c>
    </row>
    <row r="10" spans="1:65" ht="8.1" customHeight="1">
      <c r="A10" s="39"/>
      <c r="B10" s="40"/>
      <c r="C10" s="34"/>
      <c r="D10" s="138"/>
      <c r="E10" s="138"/>
      <c r="F10" s="138"/>
      <c r="G10" s="139"/>
      <c r="H10" s="138"/>
      <c r="I10" s="138"/>
      <c r="J10" s="138"/>
      <c r="K10" s="138"/>
      <c r="L10" s="139"/>
      <c r="M10" s="138"/>
      <c r="N10" s="138"/>
      <c r="O10" s="138"/>
      <c r="P10" s="138"/>
      <c r="Q10" s="139"/>
      <c r="R10" s="41"/>
      <c r="W10" s="63"/>
      <c r="X10" s="63"/>
      <c r="Y10" s="63"/>
      <c r="Z10" s="63"/>
      <c r="AA10" s="63"/>
      <c r="AB10" s="58" t="s">
        <v>106</v>
      </c>
      <c r="AC10" s="58" t="s">
        <v>267</v>
      </c>
      <c r="AD10" s="59" t="s">
        <v>252</v>
      </c>
      <c r="AE10" s="64">
        <f>+L62</f>
        <v>291.66666666666669</v>
      </c>
      <c r="AF10" s="64" t="e">
        <f>+#REF!</f>
        <v>#REF!</v>
      </c>
      <c r="AG10" s="64">
        <f>+L75</f>
        <v>108.59666666666665</v>
      </c>
      <c r="AH10" s="64" t="str">
        <f>+L88</f>
        <v>--</v>
      </c>
      <c r="AI10" s="64">
        <f>+L101</f>
        <v>107.29666666666667</v>
      </c>
      <c r="AJ10" s="64">
        <f>+L141</f>
        <v>160.46666666666667</v>
      </c>
      <c r="AK10" s="64">
        <f>+L150</f>
        <v>101.09999999999998</v>
      </c>
      <c r="AL10" s="64" t="e">
        <f>+#REF!</f>
        <v>#REF!</v>
      </c>
      <c r="AM10" s="64">
        <f>+L163</f>
        <v>171.29999999999998</v>
      </c>
    </row>
    <row r="11" spans="1:65" ht="15" customHeight="1">
      <c r="A11" s="223" t="s">
        <v>268</v>
      </c>
      <c r="B11" s="33" t="s">
        <v>269</v>
      </c>
      <c r="C11" s="34"/>
      <c r="D11" s="148">
        <v>9581</v>
      </c>
      <c r="E11" s="148">
        <v>9497</v>
      </c>
      <c r="F11" s="148">
        <v>9563</v>
      </c>
      <c r="G11" s="136">
        <f>AVERAGE(D11:F11)</f>
        <v>9547</v>
      </c>
      <c r="H11" s="137"/>
      <c r="I11" s="148">
        <v>10005</v>
      </c>
      <c r="J11" s="148">
        <v>9952</v>
      </c>
      <c r="K11" s="148">
        <v>10008</v>
      </c>
      <c r="L11" s="136">
        <f>AVERAGE(I11:K11)</f>
        <v>9988.3333333333339</v>
      </c>
      <c r="M11" s="137"/>
      <c r="N11" s="148">
        <v>10866</v>
      </c>
      <c r="O11" s="148">
        <v>10833</v>
      </c>
      <c r="P11" s="148">
        <v>10814</v>
      </c>
      <c r="Q11" s="136">
        <f>AVERAGE(N11:P11)</f>
        <v>10837.666666666666</v>
      </c>
      <c r="R11" s="38"/>
      <c r="W11" s="63"/>
      <c r="X11" s="63"/>
      <c r="Y11" s="63"/>
      <c r="Z11" s="63"/>
      <c r="AA11" s="63"/>
      <c r="AB11" s="58" t="s">
        <v>107</v>
      </c>
      <c r="AC11" s="58" t="s">
        <v>267</v>
      </c>
      <c r="AD11" s="59" t="s">
        <v>252</v>
      </c>
      <c r="AE11" s="64">
        <f>+Q62</f>
        <v>317</v>
      </c>
      <c r="AF11" s="64" t="e">
        <f>+#REF!</f>
        <v>#REF!</v>
      </c>
      <c r="AG11" s="64">
        <f>+Q75</f>
        <v>121.41000000000001</v>
      </c>
      <c r="AH11" s="64" t="str">
        <f>+Q88</f>
        <v>--</v>
      </c>
      <c r="AI11" s="64">
        <f>+Q101</f>
        <v>123.46333333333332</v>
      </c>
      <c r="AJ11" s="64">
        <f>+Q141</f>
        <v>173.4666666666667</v>
      </c>
      <c r="AK11" s="64">
        <f>+Q150</f>
        <v>107.13333333333333</v>
      </c>
      <c r="AL11" s="64" t="e">
        <f>+#REF!</f>
        <v>#REF!</v>
      </c>
      <c r="AM11" s="64">
        <f>+Q163</f>
        <v>180.20000000000002</v>
      </c>
    </row>
    <row r="12" spans="1:65" ht="15" customHeight="1">
      <c r="A12" s="218"/>
      <c r="B12" s="33" t="s">
        <v>255</v>
      </c>
      <c r="C12" s="34"/>
      <c r="D12" s="135">
        <v>9540</v>
      </c>
      <c r="E12" s="135">
        <v>9461</v>
      </c>
      <c r="F12" s="135">
        <v>9522</v>
      </c>
      <c r="G12" s="136">
        <f t="shared" ref="G12:G13" si="3">AVERAGE(D12:F12)</f>
        <v>9507.6666666666661</v>
      </c>
      <c r="H12" s="137"/>
      <c r="I12" s="135">
        <v>9965</v>
      </c>
      <c r="J12" s="135">
        <v>9957</v>
      </c>
      <c r="K12" s="135">
        <v>9986</v>
      </c>
      <c r="L12" s="136">
        <f t="shared" ref="L12:L13" si="4">AVERAGE(I12:K12)</f>
        <v>9969.3333333333339</v>
      </c>
      <c r="M12" s="137"/>
      <c r="N12" s="135">
        <v>10919</v>
      </c>
      <c r="O12" s="135">
        <v>10907</v>
      </c>
      <c r="P12" s="135">
        <v>10921</v>
      </c>
      <c r="Q12" s="136">
        <f t="shared" ref="Q12:Q13" si="5">AVERAGE(N12:P12)</f>
        <v>10915.666666666666</v>
      </c>
      <c r="R12" s="38"/>
      <c r="W12" s="63"/>
      <c r="X12" s="63"/>
      <c r="Y12" s="63"/>
      <c r="Z12" s="63"/>
      <c r="AA12" s="63"/>
      <c r="AB12" s="58" t="s">
        <v>250</v>
      </c>
      <c r="AC12" s="58" t="s">
        <v>270</v>
      </c>
      <c r="AD12" s="59" t="s">
        <v>252</v>
      </c>
      <c r="AE12" s="64">
        <f>+G65</f>
        <v>171.33333333333334</v>
      </c>
      <c r="AF12" s="64" t="e">
        <f>+#REF!</f>
        <v>#REF!</v>
      </c>
      <c r="AG12" s="64">
        <f>+G78</f>
        <v>76.013333333333335</v>
      </c>
      <c r="AH12" s="64" t="str">
        <f>+G91</f>
        <v>--</v>
      </c>
      <c r="AI12" s="64">
        <f>+G104</f>
        <v>63.416666666666664</v>
      </c>
      <c r="AJ12" s="64">
        <f>+G143</f>
        <v>105.5</v>
      </c>
      <c r="AK12" s="64">
        <f>+G153</f>
        <v>72.2</v>
      </c>
      <c r="AL12" s="64" t="e">
        <f>+#REF!</f>
        <v>#REF!</v>
      </c>
      <c r="AM12" s="64">
        <f>+G166</f>
        <v>130.19999999999999</v>
      </c>
    </row>
    <row r="13" spans="1:65" ht="15" customHeight="1">
      <c r="A13" s="218"/>
      <c r="B13" s="33" t="s">
        <v>271</v>
      </c>
      <c r="C13" s="34"/>
      <c r="D13" s="135">
        <v>9823</v>
      </c>
      <c r="E13" s="135">
        <v>9712</v>
      </c>
      <c r="F13" s="135">
        <v>9809</v>
      </c>
      <c r="G13" s="136">
        <f t="shared" si="3"/>
        <v>9781.3333333333339</v>
      </c>
      <c r="H13" s="137"/>
      <c r="I13" s="135">
        <v>10244</v>
      </c>
      <c r="J13" s="135">
        <v>9924</v>
      </c>
      <c r="K13" s="135">
        <v>10141</v>
      </c>
      <c r="L13" s="136">
        <f t="shared" si="4"/>
        <v>10103</v>
      </c>
      <c r="M13" s="137"/>
      <c r="N13" s="135">
        <v>10578</v>
      </c>
      <c r="O13" s="135">
        <v>10433</v>
      </c>
      <c r="P13" s="135">
        <v>10246</v>
      </c>
      <c r="Q13" s="136">
        <f t="shared" si="5"/>
        <v>10419</v>
      </c>
      <c r="R13" s="38"/>
      <c r="W13" s="63"/>
      <c r="X13" s="63"/>
      <c r="Y13" s="63"/>
      <c r="Z13" s="63"/>
      <c r="AA13" s="63"/>
      <c r="AB13" s="58" t="s">
        <v>106</v>
      </c>
      <c r="AC13" s="58" t="s">
        <v>270</v>
      </c>
      <c r="AD13" s="59" t="s">
        <v>252</v>
      </c>
      <c r="AE13" s="64">
        <f>+L65</f>
        <v>174</v>
      </c>
      <c r="AF13" s="64" t="e">
        <f>+#REF!</f>
        <v>#REF!</v>
      </c>
      <c r="AG13" s="64">
        <f>+L78</f>
        <v>78.533333333333331</v>
      </c>
      <c r="AH13" s="64" t="str">
        <f>+L91</f>
        <v>--</v>
      </c>
      <c r="AI13" s="64">
        <f>+L104</f>
        <v>86.75333333333333</v>
      </c>
      <c r="AJ13" s="64">
        <f>+L143</f>
        <v>111.26666666666665</v>
      </c>
      <c r="AK13" s="64">
        <f>+L153</f>
        <v>78.466666666666654</v>
      </c>
      <c r="AL13" s="64" t="e">
        <f>+#REF!</f>
        <v>#REF!</v>
      </c>
      <c r="AM13" s="64">
        <f>+L166</f>
        <v>139.16666666666666</v>
      </c>
    </row>
    <row r="14" spans="1:65" ht="8.1" customHeight="1">
      <c r="A14" s="39"/>
      <c r="B14" s="40"/>
      <c r="C14" s="34"/>
      <c r="D14" s="138"/>
      <c r="E14" s="138"/>
      <c r="F14" s="138"/>
      <c r="G14" s="139"/>
      <c r="H14" s="138"/>
      <c r="I14" s="138"/>
      <c r="J14" s="138"/>
      <c r="K14" s="138"/>
      <c r="L14" s="139"/>
      <c r="M14" s="138"/>
      <c r="N14" s="138"/>
      <c r="O14" s="138"/>
      <c r="P14" s="138"/>
      <c r="Q14" s="139"/>
      <c r="R14" s="41"/>
      <c r="W14" s="63"/>
      <c r="X14" s="63"/>
      <c r="Y14" s="63"/>
      <c r="Z14" s="63"/>
      <c r="AA14" s="63"/>
      <c r="AB14" s="58" t="s">
        <v>107</v>
      </c>
      <c r="AC14" s="58" t="s">
        <v>270</v>
      </c>
      <c r="AD14" s="59" t="s">
        <v>252</v>
      </c>
      <c r="AE14" s="64">
        <f>+Q65</f>
        <v>189</v>
      </c>
      <c r="AF14" s="64" t="e">
        <f>+#REF!</f>
        <v>#REF!</v>
      </c>
      <c r="AG14" s="64">
        <f>+Q78</f>
        <v>84.059999999999988</v>
      </c>
      <c r="AH14" s="64" t="str">
        <f>+Q91</f>
        <v>--</v>
      </c>
      <c r="AI14" s="64">
        <f>+Q104</f>
        <v>92.719999999999985</v>
      </c>
      <c r="AJ14" s="64">
        <f>+Q143</f>
        <v>120.93333333333332</v>
      </c>
      <c r="AK14" s="64">
        <f>+Q153</f>
        <v>84.353333333333339</v>
      </c>
      <c r="AL14" s="64" t="e">
        <f>+#REF!</f>
        <v>#REF!</v>
      </c>
      <c r="AM14" s="64">
        <f>+Q166</f>
        <v>154.23333333333332</v>
      </c>
    </row>
    <row r="15" spans="1:65" ht="30" customHeight="1">
      <c r="A15" s="32" t="s">
        <v>272</v>
      </c>
      <c r="B15" s="33" t="s">
        <v>255</v>
      </c>
      <c r="C15" s="34"/>
      <c r="D15" s="135">
        <v>1417</v>
      </c>
      <c r="E15" s="135">
        <v>1459</v>
      </c>
      <c r="F15" s="135">
        <v>1295</v>
      </c>
      <c r="G15" s="136">
        <f>AVERAGE(D15:F15)</f>
        <v>1390.3333333333333</v>
      </c>
      <c r="H15" s="137"/>
      <c r="I15" s="135">
        <v>1416</v>
      </c>
      <c r="J15" s="135">
        <v>1327</v>
      </c>
      <c r="K15" s="135">
        <v>1435</v>
      </c>
      <c r="L15" s="136">
        <f>AVERAGE(I15:K15)</f>
        <v>1392.6666666666667</v>
      </c>
      <c r="M15" s="137"/>
      <c r="N15" s="135">
        <v>1134</v>
      </c>
      <c r="O15" s="135">
        <v>1591</v>
      </c>
      <c r="P15" s="135">
        <v>1471</v>
      </c>
      <c r="Q15" s="136">
        <f>AVERAGE(N15:P15)</f>
        <v>1398.6666666666667</v>
      </c>
      <c r="R15" s="38"/>
      <c r="W15" s="63"/>
      <c r="X15" s="63"/>
      <c r="Y15" s="63"/>
      <c r="Z15" s="63"/>
      <c r="AA15" s="63"/>
      <c r="AB15" s="58" t="s">
        <v>250</v>
      </c>
      <c r="AC15" s="58" t="s">
        <v>273</v>
      </c>
      <c r="AD15" s="59" t="s">
        <v>252</v>
      </c>
      <c r="AE15" s="63" t="str">
        <f>+G71</f>
        <v>--</v>
      </c>
      <c r="AF15" s="63" t="e">
        <f>+#REF!</f>
        <v>#REF!</v>
      </c>
      <c r="AG15" s="63" t="str">
        <f>+G84</f>
        <v>--</v>
      </c>
      <c r="AH15" s="63" t="str">
        <f>+G97</f>
        <v>--</v>
      </c>
      <c r="AI15" s="63" t="str">
        <f>+G110</f>
        <v>--</v>
      </c>
      <c r="AJ15" s="63" t="str">
        <f>+G147</f>
        <v>--</v>
      </c>
      <c r="AK15" s="63" t="str">
        <f>+G159</f>
        <v>--</v>
      </c>
      <c r="AL15" s="63" t="e">
        <f>+#REF!</f>
        <v>#REF!</v>
      </c>
      <c r="AM15" s="63" t="str">
        <f>+G172</f>
        <v>--</v>
      </c>
    </row>
    <row r="16" spans="1:65" ht="8.1" customHeight="1">
      <c r="A16" s="39"/>
      <c r="B16" s="40"/>
      <c r="C16" s="34"/>
      <c r="D16" s="138"/>
      <c r="E16" s="138"/>
      <c r="F16" s="138"/>
      <c r="G16" s="139"/>
      <c r="H16" s="138"/>
      <c r="I16" s="138"/>
      <c r="J16" s="138"/>
      <c r="K16" s="138"/>
      <c r="L16" s="139"/>
      <c r="M16" s="138"/>
      <c r="N16" s="138"/>
      <c r="O16" s="138"/>
      <c r="P16" s="138"/>
      <c r="Q16" s="139"/>
      <c r="R16" s="41"/>
      <c r="W16" s="63"/>
      <c r="X16" s="63"/>
      <c r="Y16" s="63"/>
      <c r="Z16" s="63"/>
      <c r="AA16" s="63"/>
      <c r="AB16" s="58" t="s">
        <v>107</v>
      </c>
      <c r="AC16" s="58" t="s">
        <v>270</v>
      </c>
      <c r="AD16" s="59" t="s">
        <v>252</v>
      </c>
      <c r="AE16" s="64">
        <f>+Q67</f>
        <v>221.33333333333334</v>
      </c>
      <c r="AF16" s="64" t="e">
        <f>+#REF!</f>
        <v>#REF!</v>
      </c>
      <c r="AG16" s="64">
        <f>+Q80</f>
        <v>118.50666666666666</v>
      </c>
      <c r="AH16" s="64" t="str">
        <f>+Q93</f>
        <v>--</v>
      </c>
      <c r="AI16" s="64">
        <f>+Q106</f>
        <v>125.47666666666667</v>
      </c>
      <c r="AJ16" s="64">
        <f>+Q144</f>
        <v>182.63333333333333</v>
      </c>
      <c r="AK16" s="64">
        <f>+Q155</f>
        <v>111.3</v>
      </c>
      <c r="AL16" s="64" t="e">
        <f>+#REF!</f>
        <v>#REF!</v>
      </c>
      <c r="AM16" s="64">
        <f>+Q168</f>
        <v>182.46666666666667</v>
      </c>
    </row>
    <row r="17" spans="1:39" ht="15" customHeight="1">
      <c r="A17" s="224" t="s">
        <v>274</v>
      </c>
      <c r="B17" s="33" t="s">
        <v>275</v>
      </c>
      <c r="C17" s="34"/>
      <c r="D17" s="134">
        <v>23689.4</v>
      </c>
      <c r="E17" s="134">
        <v>23656.2</v>
      </c>
      <c r="F17" s="134">
        <v>23651.1</v>
      </c>
      <c r="G17" s="136">
        <f>AVERAGE(D17:F17)</f>
        <v>23665.566666666669</v>
      </c>
      <c r="H17" s="137"/>
      <c r="I17" s="134">
        <v>24962</v>
      </c>
      <c r="J17" s="134">
        <v>24917.1</v>
      </c>
      <c r="K17" s="134">
        <v>24923.599999999999</v>
      </c>
      <c r="L17" s="136">
        <f>AVERAGE(I17:K17)</f>
        <v>24934.233333333334</v>
      </c>
      <c r="M17" s="137"/>
      <c r="N17" s="134">
        <v>27376.5</v>
      </c>
      <c r="O17" s="134">
        <v>27219</v>
      </c>
      <c r="P17" s="134">
        <v>27069.7</v>
      </c>
      <c r="Q17" s="136">
        <f>AVERAGE(N17:P17)</f>
        <v>27221.733333333334</v>
      </c>
      <c r="R17" s="38"/>
      <c r="T17" s="142"/>
      <c r="U17" s="142"/>
      <c r="V17" s="142"/>
      <c r="W17" s="63"/>
      <c r="X17" s="63"/>
      <c r="Y17" s="63"/>
      <c r="Z17" s="63"/>
      <c r="AA17" s="63"/>
      <c r="AB17" s="58" t="s">
        <v>107</v>
      </c>
      <c r="AC17" s="58" t="s">
        <v>270</v>
      </c>
      <c r="AD17" s="59" t="s">
        <v>252</v>
      </c>
      <c r="AE17" s="64" t="e">
        <f>+#REF!</f>
        <v>#REF!</v>
      </c>
      <c r="AF17" s="64">
        <f>+Q75</f>
        <v>121.41000000000001</v>
      </c>
      <c r="AG17" s="64" t="str">
        <f>+Q88</f>
        <v>--</v>
      </c>
      <c r="AH17" s="64">
        <f>+Q101</f>
        <v>123.46333333333332</v>
      </c>
      <c r="AI17" s="64">
        <f>+Q141</f>
        <v>173.4666666666667</v>
      </c>
      <c r="AJ17" s="64">
        <f>+Q150</f>
        <v>107.13333333333333</v>
      </c>
      <c r="AK17" s="64" t="e">
        <f>+#REF!</f>
        <v>#REF!</v>
      </c>
      <c r="AL17" s="64">
        <f>+Q163</f>
        <v>180.20000000000002</v>
      </c>
      <c r="AM17" s="64" t="e">
        <f>#REF!</f>
        <v>#REF!</v>
      </c>
    </row>
    <row r="18" spans="1:39" ht="15" customHeight="1">
      <c r="A18" s="224"/>
      <c r="B18" s="33" t="s">
        <v>276</v>
      </c>
      <c r="C18" s="34"/>
      <c r="D18" s="134">
        <v>1971.4</v>
      </c>
      <c r="E18" s="134">
        <v>1969.4</v>
      </c>
      <c r="F18" s="134">
        <v>1969.5</v>
      </c>
      <c r="G18" s="136">
        <f>AVERAGE(D18:F18)</f>
        <v>1970.1000000000001</v>
      </c>
      <c r="H18" s="137"/>
      <c r="I18" s="134">
        <v>1977.7</v>
      </c>
      <c r="J18" s="134">
        <v>1979.8</v>
      </c>
      <c r="K18" s="134">
        <v>1979.7</v>
      </c>
      <c r="L18" s="136">
        <f>AVERAGE(I18:K18)</f>
        <v>1979.0666666666666</v>
      </c>
      <c r="M18" s="137"/>
      <c r="N18" s="134">
        <v>1979.5</v>
      </c>
      <c r="O18" s="134">
        <v>1982.9</v>
      </c>
      <c r="P18" s="134">
        <v>1981.3</v>
      </c>
      <c r="Q18" s="136">
        <f>AVERAGE(N18:P18)</f>
        <v>1981.2333333333333</v>
      </c>
      <c r="R18" s="38"/>
      <c r="W18" s="63"/>
      <c r="X18" s="63"/>
      <c r="Y18" s="63"/>
      <c r="Z18" s="63"/>
      <c r="AA18" s="63"/>
      <c r="AB18" s="58" t="s">
        <v>106</v>
      </c>
      <c r="AC18" s="58" t="s">
        <v>273</v>
      </c>
      <c r="AD18" s="59" t="s">
        <v>252</v>
      </c>
      <c r="AE18" s="63" t="str">
        <f>+L71</f>
        <v>--</v>
      </c>
      <c r="AF18" s="63" t="e">
        <f>+#REF!</f>
        <v>#REF!</v>
      </c>
      <c r="AG18" s="63" t="str">
        <f>+L84</f>
        <v>--</v>
      </c>
      <c r="AH18" s="63" t="str">
        <f>+L97</f>
        <v>--</v>
      </c>
      <c r="AI18" s="63" t="str">
        <f>+L110</f>
        <v>--</v>
      </c>
      <c r="AJ18" s="63" t="str">
        <f>+L147</f>
        <v>--</v>
      </c>
      <c r="AK18" s="63" t="str">
        <f>+L159</f>
        <v>--</v>
      </c>
      <c r="AL18" s="63" t="e">
        <f>+#REF!</f>
        <v>#REF!</v>
      </c>
      <c r="AM18" s="63" t="str">
        <f>+L172</f>
        <v>--</v>
      </c>
    </row>
    <row r="19" spans="1:39" ht="8.1" customHeight="1">
      <c r="A19" s="39"/>
      <c r="B19" s="40"/>
      <c r="C19" s="34"/>
      <c r="D19" s="140"/>
      <c r="E19" s="140"/>
      <c r="F19" s="140"/>
      <c r="G19" s="139"/>
      <c r="H19" s="138"/>
      <c r="I19" s="140"/>
      <c r="J19" s="140"/>
      <c r="K19" s="140"/>
      <c r="L19" s="139"/>
      <c r="M19" s="138"/>
      <c r="N19" s="140"/>
      <c r="O19" s="140"/>
      <c r="P19" s="140"/>
      <c r="Q19" s="139"/>
      <c r="R19" s="41"/>
      <c r="W19" s="63"/>
      <c r="X19" s="63"/>
      <c r="Y19" s="63"/>
      <c r="Z19" s="63"/>
      <c r="AA19" s="63"/>
      <c r="AB19" s="58" t="s">
        <v>107</v>
      </c>
      <c r="AC19" s="58" t="s">
        <v>273</v>
      </c>
      <c r="AD19" s="59" t="s">
        <v>252</v>
      </c>
      <c r="AE19" s="63" t="str">
        <f>+Q71</f>
        <v>--</v>
      </c>
      <c r="AF19" s="63" t="e">
        <f>+#REF!</f>
        <v>#REF!</v>
      </c>
      <c r="AG19" s="63" t="str">
        <f>+Q84</f>
        <v>--</v>
      </c>
      <c r="AH19" s="63" t="str">
        <f>+Q97</f>
        <v>--</v>
      </c>
      <c r="AI19" s="63" t="str">
        <f>+Q110</f>
        <v>--</v>
      </c>
      <c r="AJ19" s="63" t="str">
        <f>+Q147</f>
        <v>--</v>
      </c>
      <c r="AK19" s="63" t="str">
        <f>+Q159</f>
        <v>--</v>
      </c>
      <c r="AL19" s="63" t="e">
        <f>+#REF!</f>
        <v>#REF!</v>
      </c>
      <c r="AM19" s="63" t="str">
        <f>+Q172</f>
        <v>--</v>
      </c>
    </row>
    <row r="20" spans="1:39" ht="15" customHeight="1">
      <c r="A20" s="224" t="s">
        <v>65</v>
      </c>
      <c r="B20" s="33" t="s">
        <v>275</v>
      </c>
      <c r="C20" s="34"/>
      <c r="D20" s="134">
        <v>1301.7</v>
      </c>
      <c r="E20" s="134">
        <v>1303.4000000000001</v>
      </c>
      <c r="F20" s="134">
        <v>1300.3</v>
      </c>
      <c r="G20" s="136">
        <f>AVERAGE(D20:F20)</f>
        <v>1301.8000000000002</v>
      </c>
      <c r="H20" s="137"/>
      <c r="I20" s="134">
        <v>1351.7</v>
      </c>
      <c r="J20" s="134">
        <v>1351.4</v>
      </c>
      <c r="K20" s="134">
        <v>1348.3</v>
      </c>
      <c r="L20" s="136">
        <f>AVERAGE(I20:K20)</f>
        <v>1350.4666666666669</v>
      </c>
      <c r="M20" s="137"/>
      <c r="N20" s="134">
        <v>1430.3</v>
      </c>
      <c r="O20" s="134">
        <v>1425.3</v>
      </c>
      <c r="P20" s="134">
        <v>1425.9</v>
      </c>
      <c r="Q20" s="136">
        <f>AVERAGE(N20:P20)</f>
        <v>1427.1666666666667</v>
      </c>
      <c r="R20" s="38"/>
      <c r="T20" s="142"/>
      <c r="U20" s="142"/>
      <c r="V20" s="142"/>
      <c r="W20" s="63"/>
      <c r="X20" s="63"/>
      <c r="Y20" s="63"/>
      <c r="Z20" s="63"/>
      <c r="AA20" s="63"/>
      <c r="AB20" s="58" t="s">
        <v>250</v>
      </c>
      <c r="AC20" s="58" t="s">
        <v>267</v>
      </c>
      <c r="AD20" s="63" t="s">
        <v>277</v>
      </c>
      <c r="AE20" s="63" t="e">
        <f>+#REF!</f>
        <v>#REF!</v>
      </c>
      <c r="AF20" s="63" t="s">
        <v>278</v>
      </c>
      <c r="AG20" s="63" t="s">
        <v>278</v>
      </c>
      <c r="AH20" s="63" t="s">
        <v>278</v>
      </c>
      <c r="AI20" s="63" t="s">
        <v>278</v>
      </c>
      <c r="AJ20" s="63" t="s">
        <v>278</v>
      </c>
      <c r="AK20" s="63" t="s">
        <v>278</v>
      </c>
      <c r="AL20" s="63" t="s">
        <v>278</v>
      </c>
      <c r="AM20" s="63" t="s">
        <v>278</v>
      </c>
    </row>
    <row r="21" spans="1:39" ht="15" customHeight="1">
      <c r="A21" s="224"/>
      <c r="B21" s="33" t="s">
        <v>276</v>
      </c>
      <c r="C21" s="34"/>
      <c r="D21" s="134">
        <v>112.3</v>
      </c>
      <c r="E21" s="134">
        <v>112.8</v>
      </c>
      <c r="F21" s="134">
        <v>112.8</v>
      </c>
      <c r="G21" s="136">
        <f>AVERAGE(D21:F21)</f>
        <v>112.63333333333333</v>
      </c>
      <c r="H21" s="137"/>
      <c r="I21" s="134">
        <v>112.6</v>
      </c>
      <c r="J21" s="134">
        <v>113.1</v>
      </c>
      <c r="K21" s="134">
        <v>113.3</v>
      </c>
      <c r="L21" s="136">
        <f>AVERAGE(I21:K21)</f>
        <v>113</v>
      </c>
      <c r="M21" s="137"/>
      <c r="N21" s="134">
        <v>112.7</v>
      </c>
      <c r="O21" s="134">
        <v>112.8</v>
      </c>
      <c r="P21" s="134">
        <v>112.9</v>
      </c>
      <c r="Q21" s="136">
        <f>AVERAGE(N21:P21)</f>
        <v>112.8</v>
      </c>
      <c r="R21" s="38"/>
      <c r="W21" s="63"/>
      <c r="X21" s="63"/>
      <c r="Y21" s="63"/>
      <c r="Z21" s="63"/>
      <c r="AA21" s="63"/>
      <c r="AB21" s="58" t="s">
        <v>106</v>
      </c>
      <c r="AC21" s="58" t="s">
        <v>267</v>
      </c>
      <c r="AD21" s="63" t="s">
        <v>277</v>
      </c>
      <c r="AE21" s="63" t="e">
        <f>+#REF!</f>
        <v>#REF!</v>
      </c>
      <c r="AF21" s="63" t="s">
        <v>278</v>
      </c>
      <c r="AG21" s="63" t="s">
        <v>278</v>
      </c>
      <c r="AH21" s="63" t="s">
        <v>278</v>
      </c>
      <c r="AI21" s="63" t="s">
        <v>278</v>
      </c>
      <c r="AJ21" s="63" t="s">
        <v>278</v>
      </c>
      <c r="AK21" s="63" t="s">
        <v>278</v>
      </c>
      <c r="AL21" s="63" t="s">
        <v>278</v>
      </c>
      <c r="AM21" s="63" t="s">
        <v>278</v>
      </c>
    </row>
    <row r="22" spans="1:39" ht="8.1" customHeight="1">
      <c r="A22" s="39"/>
      <c r="B22" s="40"/>
      <c r="C22" s="34"/>
      <c r="D22" s="140"/>
      <c r="E22" s="140"/>
      <c r="F22" s="140"/>
      <c r="G22" s="139"/>
      <c r="H22" s="138"/>
      <c r="I22" s="140"/>
      <c r="J22" s="140"/>
      <c r="K22" s="140"/>
      <c r="L22" s="139"/>
      <c r="M22" s="138"/>
      <c r="N22" s="140"/>
      <c r="O22" s="140"/>
      <c r="P22" s="140"/>
      <c r="Q22" s="139"/>
      <c r="R22" s="41"/>
      <c r="W22" s="63"/>
      <c r="X22" s="63"/>
      <c r="Y22" s="63"/>
      <c r="Z22" s="63"/>
      <c r="AA22" s="63"/>
      <c r="AB22" s="58" t="s">
        <v>107</v>
      </c>
      <c r="AC22" s="58" t="s">
        <v>267</v>
      </c>
      <c r="AD22" s="63" t="s">
        <v>277</v>
      </c>
      <c r="AE22" s="63" t="e">
        <f>+#REF!</f>
        <v>#REF!</v>
      </c>
      <c r="AF22" s="63" t="s">
        <v>278</v>
      </c>
      <c r="AG22" s="63" t="s">
        <v>278</v>
      </c>
      <c r="AH22" s="63" t="s">
        <v>278</v>
      </c>
      <c r="AI22" s="63" t="s">
        <v>278</v>
      </c>
      <c r="AJ22" s="63" t="s">
        <v>278</v>
      </c>
      <c r="AK22" s="63" t="s">
        <v>278</v>
      </c>
      <c r="AL22" s="63" t="s">
        <v>278</v>
      </c>
      <c r="AM22" s="63" t="s">
        <v>278</v>
      </c>
    </row>
    <row r="23" spans="1:39" ht="15" customHeight="1">
      <c r="A23" s="218" t="s">
        <v>279</v>
      </c>
      <c r="B23" s="33" t="s">
        <v>280</v>
      </c>
      <c r="C23" s="34"/>
      <c r="D23" s="134">
        <v>88022</v>
      </c>
      <c r="E23" s="134">
        <v>88374</v>
      </c>
      <c r="F23" s="134">
        <v>87721</v>
      </c>
      <c r="G23" s="136">
        <f>AVERAGE(D23:F23)</f>
        <v>88039</v>
      </c>
      <c r="H23" s="137"/>
      <c r="I23" s="134">
        <v>89869</v>
      </c>
      <c r="J23" s="134">
        <v>90164</v>
      </c>
      <c r="K23" s="134">
        <v>90056</v>
      </c>
      <c r="L23" s="136">
        <f>AVERAGE(I23:K23)</f>
        <v>90029.666666666672</v>
      </c>
      <c r="M23" s="137"/>
      <c r="N23" s="134">
        <v>92214</v>
      </c>
      <c r="O23" s="134">
        <v>92482</v>
      </c>
      <c r="P23" s="134">
        <v>92190</v>
      </c>
      <c r="Q23" s="136">
        <f>AVERAGE(N23:P23)</f>
        <v>92295.333333333328</v>
      </c>
      <c r="R23" s="38"/>
      <c r="W23" s="63"/>
      <c r="X23" s="63"/>
      <c r="Y23" s="63"/>
      <c r="Z23" s="63"/>
      <c r="AA23" s="63"/>
      <c r="AB23" s="58" t="s">
        <v>250</v>
      </c>
      <c r="AC23" s="58" t="s">
        <v>270</v>
      </c>
      <c r="AD23" s="63" t="s">
        <v>277</v>
      </c>
      <c r="AE23" s="63" t="e">
        <f>+#REF!</f>
        <v>#REF!</v>
      </c>
      <c r="AF23" s="63" t="s">
        <v>278</v>
      </c>
      <c r="AG23" s="63" t="s">
        <v>278</v>
      </c>
      <c r="AH23" s="63" t="s">
        <v>278</v>
      </c>
      <c r="AI23" s="63" t="s">
        <v>278</v>
      </c>
      <c r="AJ23" s="63" t="s">
        <v>278</v>
      </c>
      <c r="AK23" s="63" t="s">
        <v>278</v>
      </c>
      <c r="AL23" s="63" t="s">
        <v>278</v>
      </c>
      <c r="AM23" s="63" t="s">
        <v>278</v>
      </c>
    </row>
    <row r="24" spans="1:39" ht="15" customHeight="1">
      <c r="A24" s="218"/>
      <c r="B24" s="33" t="s">
        <v>281</v>
      </c>
      <c r="C24" s="34"/>
      <c r="D24" s="134">
        <v>122263</v>
      </c>
      <c r="E24" s="134">
        <v>123397</v>
      </c>
      <c r="F24" s="134">
        <v>123512</v>
      </c>
      <c r="G24" s="136">
        <f t="shared" ref="G24:G27" si="6">AVERAGE(D24:F24)</f>
        <v>123057.33333333333</v>
      </c>
      <c r="H24" s="137"/>
      <c r="I24" s="134">
        <v>123327</v>
      </c>
      <c r="J24" s="134">
        <v>123617</v>
      </c>
      <c r="K24" s="134">
        <v>124073</v>
      </c>
      <c r="L24" s="136">
        <f t="shared" ref="L24:L27" si="7">AVERAGE(I24:K24)</f>
        <v>123672.33333333333</v>
      </c>
      <c r="M24" s="137"/>
      <c r="N24" s="134">
        <v>123755</v>
      </c>
      <c r="O24" s="134">
        <v>123579</v>
      </c>
      <c r="P24" s="134">
        <v>123239</v>
      </c>
      <c r="Q24" s="136">
        <f t="shared" ref="Q24:Q27" si="8">AVERAGE(N24:P24)</f>
        <v>123524.33333333333</v>
      </c>
      <c r="R24" s="38"/>
      <c r="W24" s="63"/>
      <c r="X24" s="63"/>
      <c r="Y24" s="63"/>
      <c r="Z24" s="63"/>
      <c r="AA24" s="63"/>
      <c r="AB24" s="58" t="s">
        <v>106</v>
      </c>
      <c r="AC24" s="58" t="s">
        <v>270</v>
      </c>
      <c r="AD24" s="63" t="s">
        <v>277</v>
      </c>
      <c r="AE24" s="63" t="e">
        <f>+#REF!</f>
        <v>#REF!</v>
      </c>
      <c r="AF24" s="63" t="s">
        <v>278</v>
      </c>
      <c r="AG24" s="63" t="s">
        <v>278</v>
      </c>
      <c r="AH24" s="63" t="s">
        <v>278</v>
      </c>
      <c r="AI24" s="63" t="s">
        <v>278</v>
      </c>
      <c r="AJ24" s="63" t="s">
        <v>278</v>
      </c>
      <c r="AK24" s="63" t="s">
        <v>278</v>
      </c>
      <c r="AL24" s="63" t="s">
        <v>278</v>
      </c>
      <c r="AM24" s="63" t="s">
        <v>278</v>
      </c>
    </row>
    <row r="25" spans="1:39" ht="15" customHeight="1">
      <c r="A25" s="218"/>
      <c r="B25" s="33" t="s">
        <v>282</v>
      </c>
      <c r="C25" s="34"/>
      <c r="D25" s="134">
        <v>215043</v>
      </c>
      <c r="E25" s="134">
        <v>214839</v>
      </c>
      <c r="F25" s="134">
        <v>214231</v>
      </c>
      <c r="G25" s="136">
        <f t="shared" si="6"/>
        <v>214704.33333333334</v>
      </c>
      <c r="H25" s="137"/>
      <c r="I25" s="134">
        <v>214977</v>
      </c>
      <c r="J25" s="134">
        <v>215116</v>
      </c>
      <c r="K25" s="134">
        <v>214934</v>
      </c>
      <c r="L25" s="136">
        <f t="shared" si="7"/>
        <v>215009</v>
      </c>
      <c r="M25" s="137"/>
      <c r="N25" s="134">
        <v>216046</v>
      </c>
      <c r="O25" s="134">
        <v>214572</v>
      </c>
      <c r="P25" s="134">
        <v>214711</v>
      </c>
      <c r="Q25" s="136">
        <f t="shared" si="8"/>
        <v>215109.66666666666</v>
      </c>
      <c r="R25" s="38"/>
      <c r="W25" s="63"/>
      <c r="X25" s="63"/>
      <c r="Y25" s="63"/>
      <c r="Z25" s="63"/>
      <c r="AA25" s="63"/>
      <c r="AB25" s="58" t="s">
        <v>107</v>
      </c>
      <c r="AC25" s="58" t="s">
        <v>270</v>
      </c>
      <c r="AD25" s="63" t="s">
        <v>277</v>
      </c>
      <c r="AE25" s="63" t="e">
        <f>+#REF!</f>
        <v>#REF!</v>
      </c>
      <c r="AF25" s="63" t="s">
        <v>278</v>
      </c>
      <c r="AG25" s="63" t="s">
        <v>278</v>
      </c>
      <c r="AH25" s="63" t="s">
        <v>278</v>
      </c>
      <c r="AI25" s="63" t="s">
        <v>278</v>
      </c>
      <c r="AJ25" s="63" t="s">
        <v>278</v>
      </c>
      <c r="AK25" s="63" t="s">
        <v>278</v>
      </c>
      <c r="AL25" s="63" t="s">
        <v>278</v>
      </c>
      <c r="AM25" s="63" t="s">
        <v>278</v>
      </c>
    </row>
    <row r="26" spans="1:39" ht="15" customHeight="1">
      <c r="A26" s="218"/>
      <c r="B26" s="33" t="s">
        <v>283</v>
      </c>
      <c r="C26" s="34"/>
      <c r="D26" s="134">
        <v>157620</v>
      </c>
      <c r="E26" s="134">
        <v>145419</v>
      </c>
      <c r="F26" s="134">
        <v>156936</v>
      </c>
      <c r="G26" s="136">
        <f t="shared" si="6"/>
        <v>153325</v>
      </c>
      <c r="H26" s="137"/>
      <c r="I26" s="134">
        <v>152263</v>
      </c>
      <c r="J26" s="134">
        <v>152160</v>
      </c>
      <c r="K26" s="134">
        <v>156978</v>
      </c>
      <c r="L26" s="136">
        <f t="shared" si="7"/>
        <v>153800.33333333334</v>
      </c>
      <c r="M26" s="137"/>
      <c r="N26" s="134">
        <v>152537</v>
      </c>
      <c r="O26" s="134">
        <v>156071</v>
      </c>
      <c r="P26" s="134">
        <v>151522</v>
      </c>
      <c r="Q26" s="136">
        <f t="shared" si="8"/>
        <v>153376.66666666666</v>
      </c>
      <c r="R26" s="38"/>
      <c r="W26" s="63"/>
      <c r="X26" s="63"/>
      <c r="Y26" s="63"/>
      <c r="Z26" s="63"/>
      <c r="AA26" s="63"/>
      <c r="AB26" s="58" t="s">
        <v>250</v>
      </c>
      <c r="AC26" s="58" t="s">
        <v>273</v>
      </c>
      <c r="AD26" s="63" t="s">
        <v>277</v>
      </c>
      <c r="AE26" s="63" t="e">
        <f>+#REF!</f>
        <v>#REF!</v>
      </c>
      <c r="AF26" s="63" t="s">
        <v>278</v>
      </c>
      <c r="AG26" s="63" t="s">
        <v>278</v>
      </c>
      <c r="AH26" s="63" t="s">
        <v>278</v>
      </c>
      <c r="AI26" s="63" t="s">
        <v>278</v>
      </c>
      <c r="AJ26" s="63" t="s">
        <v>278</v>
      </c>
      <c r="AK26" s="63" t="s">
        <v>278</v>
      </c>
      <c r="AL26" s="63" t="s">
        <v>278</v>
      </c>
      <c r="AM26" s="63" t="s">
        <v>278</v>
      </c>
    </row>
    <row r="27" spans="1:39" ht="15" customHeight="1">
      <c r="A27" s="218"/>
      <c r="B27" s="33" t="s">
        <v>284</v>
      </c>
      <c r="C27" s="34"/>
      <c r="D27" s="134">
        <v>142</v>
      </c>
      <c r="E27" s="134">
        <v>141.5</v>
      </c>
      <c r="F27" s="134">
        <v>141.9</v>
      </c>
      <c r="G27" s="136">
        <f t="shared" si="6"/>
        <v>141.79999999999998</v>
      </c>
      <c r="H27" s="137"/>
      <c r="I27" s="134">
        <v>141.1</v>
      </c>
      <c r="J27" s="134">
        <v>140.30000000000001</v>
      </c>
      <c r="K27" s="134">
        <v>140.30000000000001</v>
      </c>
      <c r="L27" s="136">
        <f t="shared" si="7"/>
        <v>140.56666666666666</v>
      </c>
      <c r="M27" s="137"/>
      <c r="N27" s="134">
        <v>138.5</v>
      </c>
      <c r="O27" s="134">
        <v>139.5</v>
      </c>
      <c r="P27" s="134">
        <v>139.4</v>
      </c>
      <c r="Q27" s="136">
        <f t="shared" si="8"/>
        <v>139.13333333333333</v>
      </c>
      <c r="R27" s="38"/>
      <c r="W27" s="63"/>
      <c r="X27" s="63"/>
      <c r="Y27" s="63"/>
      <c r="Z27" s="63"/>
      <c r="AA27" s="63"/>
      <c r="AB27" s="58" t="s">
        <v>106</v>
      </c>
      <c r="AC27" s="58" t="s">
        <v>273</v>
      </c>
      <c r="AD27" s="63" t="s">
        <v>277</v>
      </c>
      <c r="AE27" s="63" t="e">
        <f>+#REF!</f>
        <v>#REF!</v>
      </c>
      <c r="AF27" s="63" t="s">
        <v>278</v>
      </c>
      <c r="AG27" s="63" t="s">
        <v>278</v>
      </c>
      <c r="AH27" s="63" t="s">
        <v>278</v>
      </c>
      <c r="AI27" s="63" t="s">
        <v>278</v>
      </c>
      <c r="AJ27" s="63" t="s">
        <v>278</v>
      </c>
      <c r="AK27" s="63" t="s">
        <v>278</v>
      </c>
      <c r="AL27" s="63" t="s">
        <v>278</v>
      </c>
      <c r="AM27" s="63" t="s">
        <v>278</v>
      </c>
    </row>
    <row r="28" spans="1:39" ht="8.1" customHeight="1">
      <c r="A28" s="39"/>
      <c r="B28" s="40"/>
      <c r="C28" s="34"/>
      <c r="D28" s="140"/>
      <c r="E28" s="140"/>
      <c r="F28" s="140"/>
      <c r="G28" s="139"/>
      <c r="H28" s="138"/>
      <c r="I28" s="140"/>
      <c r="J28" s="140"/>
      <c r="K28" s="140"/>
      <c r="L28" s="139"/>
      <c r="M28" s="138"/>
      <c r="N28" s="140"/>
      <c r="O28" s="140"/>
      <c r="P28" s="140"/>
      <c r="Q28" s="139"/>
      <c r="R28" s="41"/>
      <c r="W28" s="63"/>
      <c r="X28" s="63"/>
      <c r="Y28" s="63"/>
      <c r="Z28" s="63"/>
      <c r="AA28" s="63"/>
      <c r="AB28" s="58" t="s">
        <v>107</v>
      </c>
      <c r="AC28" s="58" t="s">
        <v>273</v>
      </c>
      <c r="AD28" s="63" t="s">
        <v>277</v>
      </c>
      <c r="AE28" s="63" t="e">
        <f>+#REF!</f>
        <v>#REF!</v>
      </c>
      <c r="AF28" s="63" t="s">
        <v>278</v>
      </c>
      <c r="AG28" s="63" t="s">
        <v>278</v>
      </c>
      <c r="AH28" s="63" t="s">
        <v>278</v>
      </c>
      <c r="AI28" s="63" t="s">
        <v>278</v>
      </c>
      <c r="AJ28" s="63" t="s">
        <v>278</v>
      </c>
      <c r="AK28" s="63" t="s">
        <v>278</v>
      </c>
      <c r="AL28" s="63" t="s">
        <v>278</v>
      </c>
      <c r="AM28" s="63" t="s">
        <v>278</v>
      </c>
    </row>
    <row r="29" spans="1:39" ht="15" customHeight="1">
      <c r="A29" s="219" t="s">
        <v>285</v>
      </c>
      <c r="B29" s="33" t="s">
        <v>286</v>
      </c>
      <c r="C29" s="34"/>
      <c r="D29" s="141">
        <v>6115.3</v>
      </c>
      <c r="E29" s="141">
        <v>6176.4</v>
      </c>
      <c r="F29" s="141">
        <v>6178.1</v>
      </c>
      <c r="G29" s="136">
        <f>AVERAGE(D29:F29)</f>
        <v>6156.6000000000013</v>
      </c>
      <c r="H29" s="137"/>
      <c r="I29" s="141">
        <v>6071.8</v>
      </c>
      <c r="J29" s="141">
        <v>6083.6</v>
      </c>
      <c r="K29" s="141">
        <v>6122.2</v>
      </c>
      <c r="L29" s="136">
        <f>AVERAGE(I29:K29)</f>
        <v>6092.5333333333338</v>
      </c>
      <c r="M29" s="137"/>
      <c r="N29" s="141">
        <v>6184.6</v>
      </c>
      <c r="O29" s="141">
        <v>6078.5</v>
      </c>
      <c r="P29" s="141">
        <v>6177.6</v>
      </c>
      <c r="Q29" s="136">
        <f>AVERAGE(N29:P29)</f>
        <v>6146.9000000000005</v>
      </c>
      <c r="R29" s="38"/>
    </row>
    <row r="30" spans="1:39" ht="15" customHeight="1">
      <c r="A30" s="219"/>
      <c r="B30" s="33" t="s">
        <v>287</v>
      </c>
      <c r="C30" s="34"/>
      <c r="D30" s="134">
        <v>5380.2</v>
      </c>
      <c r="E30" s="134">
        <v>5381</v>
      </c>
      <c r="F30" s="134">
        <v>5379.7</v>
      </c>
      <c r="G30" s="136">
        <f t="shared" ref="G30:G36" si="9">AVERAGE(D30:F30)</f>
        <v>5380.3</v>
      </c>
      <c r="H30" s="137"/>
      <c r="I30" s="134">
        <v>5380</v>
      </c>
      <c r="J30" s="134">
        <v>5376.8</v>
      </c>
      <c r="K30" s="134">
        <v>5379.7</v>
      </c>
      <c r="L30" s="136">
        <f t="shared" ref="L30:L36" si="10">AVERAGE(I30:K30)</f>
        <v>5378.833333333333</v>
      </c>
      <c r="M30" s="137"/>
      <c r="N30" s="134">
        <v>5381.1</v>
      </c>
      <c r="O30" s="134">
        <v>5380.8</v>
      </c>
      <c r="P30" s="134">
        <v>5384.8</v>
      </c>
      <c r="Q30" s="136">
        <f t="shared" ref="Q30:Q36" si="11">AVERAGE(N30:P30)</f>
        <v>5382.2333333333336</v>
      </c>
      <c r="R30" s="38"/>
    </row>
    <row r="31" spans="1:39" ht="15" customHeight="1">
      <c r="A31" s="219"/>
      <c r="B31" s="33" t="s">
        <v>288</v>
      </c>
      <c r="C31" s="34"/>
      <c r="D31" s="134">
        <v>3179</v>
      </c>
      <c r="E31" s="134">
        <v>3184.6</v>
      </c>
      <c r="F31" s="134">
        <v>3183.1</v>
      </c>
      <c r="G31" s="136">
        <f t="shared" si="9"/>
        <v>3182.2333333333336</v>
      </c>
      <c r="H31" s="137"/>
      <c r="I31" s="134">
        <v>3216.4</v>
      </c>
      <c r="J31" s="134">
        <v>3220.4</v>
      </c>
      <c r="K31" s="134">
        <v>3238.6</v>
      </c>
      <c r="L31" s="136">
        <f t="shared" si="10"/>
        <v>3225.1333333333332</v>
      </c>
      <c r="M31" s="137"/>
      <c r="N31" s="134">
        <v>3231.6</v>
      </c>
      <c r="O31" s="134">
        <v>3213.8</v>
      </c>
      <c r="P31" s="134">
        <v>3226.9</v>
      </c>
      <c r="Q31" s="136">
        <f t="shared" si="11"/>
        <v>3224.1</v>
      </c>
      <c r="R31" s="38"/>
    </row>
    <row r="32" spans="1:39" ht="15" customHeight="1">
      <c r="A32" s="219"/>
      <c r="B32" s="33" t="s">
        <v>289</v>
      </c>
      <c r="C32" s="34"/>
      <c r="D32" s="134">
        <v>4382.3</v>
      </c>
      <c r="E32" s="134">
        <v>4388</v>
      </c>
      <c r="F32" s="134">
        <v>4390.1000000000004</v>
      </c>
      <c r="G32" s="136">
        <f t="shared" si="9"/>
        <v>4386.8</v>
      </c>
      <c r="H32" s="137"/>
      <c r="I32" s="134">
        <v>4468.3999999999996</v>
      </c>
      <c r="J32" s="134">
        <v>4466.6000000000004</v>
      </c>
      <c r="K32" s="134">
        <v>4462.8</v>
      </c>
      <c r="L32" s="136">
        <f t="shared" si="10"/>
        <v>4465.9333333333334</v>
      </c>
      <c r="M32" s="137"/>
      <c r="N32" s="134">
        <v>4461.6000000000004</v>
      </c>
      <c r="O32" s="134">
        <v>4463.3</v>
      </c>
      <c r="P32" s="134">
        <v>4468.8</v>
      </c>
      <c r="Q32" s="136">
        <f t="shared" si="11"/>
        <v>4464.5666666666666</v>
      </c>
      <c r="R32" s="38"/>
    </row>
    <row r="33" spans="1:18" ht="15" customHeight="1">
      <c r="A33" s="219"/>
      <c r="B33" s="33" t="s">
        <v>290</v>
      </c>
      <c r="C33" s="34"/>
      <c r="D33" s="134">
        <v>601.5</v>
      </c>
      <c r="E33" s="134">
        <v>599.70000000000005</v>
      </c>
      <c r="F33" s="134">
        <v>589</v>
      </c>
      <c r="G33" s="136">
        <f t="shared" si="9"/>
        <v>596.73333333333335</v>
      </c>
      <c r="H33" s="137"/>
      <c r="I33" s="134">
        <v>608.9</v>
      </c>
      <c r="J33" s="134">
        <v>609.4</v>
      </c>
      <c r="K33" s="134">
        <v>611.29999999999995</v>
      </c>
      <c r="L33" s="136">
        <f t="shared" si="10"/>
        <v>609.86666666666667</v>
      </c>
      <c r="M33" s="137"/>
      <c r="N33" s="134">
        <v>604.5</v>
      </c>
      <c r="O33" s="134">
        <v>610.1</v>
      </c>
      <c r="P33" s="134">
        <v>599.4</v>
      </c>
      <c r="Q33" s="136">
        <f t="shared" si="11"/>
        <v>604.66666666666663</v>
      </c>
      <c r="R33" s="38"/>
    </row>
    <row r="34" spans="1:18" ht="15" customHeight="1">
      <c r="A34" s="219"/>
      <c r="B34" s="33" t="s">
        <v>291</v>
      </c>
      <c r="C34" s="34"/>
      <c r="D34" s="134">
        <v>369.7</v>
      </c>
      <c r="E34" s="134">
        <v>372.1</v>
      </c>
      <c r="F34" s="134">
        <v>371.7</v>
      </c>
      <c r="G34" s="136">
        <f t="shared" si="9"/>
        <v>371.16666666666669</v>
      </c>
      <c r="H34" s="137"/>
      <c r="I34" s="134">
        <v>371.1</v>
      </c>
      <c r="J34" s="134">
        <v>373</v>
      </c>
      <c r="K34" s="134">
        <v>371.6</v>
      </c>
      <c r="L34" s="136">
        <f t="shared" si="10"/>
        <v>371.90000000000003</v>
      </c>
      <c r="M34" s="137"/>
      <c r="N34" s="134">
        <v>371.6</v>
      </c>
      <c r="O34" s="134">
        <v>370.4</v>
      </c>
      <c r="P34" s="134">
        <v>371.8</v>
      </c>
      <c r="Q34" s="136">
        <f t="shared" si="11"/>
        <v>371.26666666666665</v>
      </c>
      <c r="R34" s="38"/>
    </row>
    <row r="35" spans="1:18" ht="15" customHeight="1">
      <c r="A35" s="219"/>
      <c r="B35" s="33" t="s">
        <v>292</v>
      </c>
      <c r="C35" s="34"/>
      <c r="D35" s="134">
        <v>64.400000000000006</v>
      </c>
      <c r="E35" s="134">
        <v>64.7</v>
      </c>
      <c r="F35" s="134">
        <v>64.599999999999994</v>
      </c>
      <c r="G35" s="136">
        <f t="shared" si="9"/>
        <v>64.566666666666677</v>
      </c>
      <c r="H35" s="137"/>
      <c r="I35" s="134">
        <v>66.099999999999994</v>
      </c>
      <c r="J35" s="134">
        <v>66.099999999999994</v>
      </c>
      <c r="K35" s="134">
        <v>66</v>
      </c>
      <c r="L35" s="136">
        <f t="shared" si="10"/>
        <v>66.066666666666663</v>
      </c>
      <c r="M35" s="137"/>
      <c r="N35" s="134">
        <v>66.5</v>
      </c>
      <c r="O35" s="134">
        <v>66.099999999999994</v>
      </c>
      <c r="P35" s="134">
        <v>66.2</v>
      </c>
      <c r="Q35" s="136">
        <f t="shared" si="11"/>
        <v>66.266666666666666</v>
      </c>
      <c r="R35" s="38"/>
    </row>
    <row r="36" spans="1:18" ht="15" customHeight="1">
      <c r="A36" s="219"/>
      <c r="B36" s="33" t="s">
        <v>293</v>
      </c>
      <c r="C36" s="34"/>
      <c r="D36" s="134">
        <v>177.2</v>
      </c>
      <c r="E36" s="134">
        <v>176.8</v>
      </c>
      <c r="F36" s="134">
        <v>175.7</v>
      </c>
      <c r="G36" s="136">
        <f t="shared" si="9"/>
        <v>176.56666666666669</v>
      </c>
      <c r="H36" s="137"/>
      <c r="I36" s="134">
        <v>176.8</v>
      </c>
      <c r="J36" s="134">
        <v>177.9</v>
      </c>
      <c r="K36" s="134">
        <v>178.4</v>
      </c>
      <c r="L36" s="136">
        <f t="shared" si="10"/>
        <v>177.70000000000002</v>
      </c>
      <c r="M36" s="137"/>
      <c r="N36" s="134">
        <v>176.7</v>
      </c>
      <c r="O36" s="134">
        <v>178.1</v>
      </c>
      <c r="P36" s="134">
        <v>177.5</v>
      </c>
      <c r="Q36" s="136">
        <f t="shared" si="11"/>
        <v>177.43333333333331</v>
      </c>
      <c r="R36" s="38"/>
    </row>
    <row r="37" spans="1:18" ht="8.1" customHeight="1">
      <c r="A37" s="43"/>
      <c r="B37" s="40"/>
      <c r="C37" s="34"/>
      <c r="D37" s="140"/>
      <c r="E37" s="140"/>
      <c r="F37" s="140"/>
      <c r="G37" s="42"/>
      <c r="H37" s="41"/>
      <c r="I37" s="140"/>
      <c r="J37" s="140"/>
      <c r="K37" s="140"/>
      <c r="L37" s="42"/>
      <c r="M37" s="41"/>
      <c r="N37" s="140"/>
      <c r="O37" s="140"/>
      <c r="P37" s="140"/>
      <c r="Q37" s="42"/>
      <c r="R37" s="41"/>
    </row>
    <row r="38" spans="1:18" ht="15" customHeight="1">
      <c r="A38" s="219" t="s">
        <v>294</v>
      </c>
      <c r="B38" s="33" t="s">
        <v>286</v>
      </c>
      <c r="C38" s="34"/>
      <c r="D38" s="149"/>
      <c r="E38" s="149"/>
      <c r="F38" s="149"/>
      <c r="G38" s="36" t="str">
        <f t="shared" ref="G38:G45" si="12">IFERROR(AVERAGE(D38:F38),"--")</f>
        <v>--</v>
      </c>
      <c r="H38" s="37"/>
      <c r="I38" s="149"/>
      <c r="J38" s="149"/>
      <c r="K38" s="149"/>
      <c r="L38" s="36" t="str">
        <f t="shared" ref="L38:L45" si="13">IFERROR(AVERAGE(I38:K38),"--")</f>
        <v>--</v>
      </c>
      <c r="M38" s="37"/>
      <c r="N38" s="149"/>
      <c r="O38" s="149"/>
      <c r="P38" s="149"/>
      <c r="Q38" s="36" t="str">
        <f t="shared" ref="Q38:Q45" si="14">IFERROR(AVERAGE(N38:P38),"--")</f>
        <v>--</v>
      </c>
      <c r="R38" s="38"/>
    </row>
    <row r="39" spans="1:18" ht="15" customHeight="1">
      <c r="A39" s="219"/>
      <c r="B39" s="33" t="s">
        <v>287</v>
      </c>
      <c r="C39" s="34"/>
      <c r="D39" s="149"/>
      <c r="E39" s="149"/>
      <c r="F39" s="149"/>
      <c r="G39" s="36" t="str">
        <f t="shared" si="12"/>
        <v>--</v>
      </c>
      <c r="H39" s="37"/>
      <c r="I39" s="149"/>
      <c r="J39" s="149"/>
      <c r="K39" s="149"/>
      <c r="L39" s="36" t="str">
        <f t="shared" si="13"/>
        <v>--</v>
      </c>
      <c r="M39" s="37"/>
      <c r="N39" s="149"/>
      <c r="O39" s="149"/>
      <c r="P39" s="149"/>
      <c r="Q39" s="36" t="str">
        <f t="shared" si="14"/>
        <v>--</v>
      </c>
      <c r="R39" s="38"/>
    </row>
    <row r="40" spans="1:18" ht="15" customHeight="1">
      <c r="A40" s="219"/>
      <c r="B40" s="33" t="s">
        <v>288</v>
      </c>
      <c r="C40" s="34"/>
      <c r="D40" s="149"/>
      <c r="E40" s="149"/>
      <c r="F40" s="149"/>
      <c r="G40" s="36" t="str">
        <f t="shared" si="12"/>
        <v>--</v>
      </c>
      <c r="H40" s="37"/>
      <c r="I40" s="149"/>
      <c r="J40" s="149"/>
      <c r="K40" s="149"/>
      <c r="L40" s="36" t="str">
        <f t="shared" si="13"/>
        <v>--</v>
      </c>
      <c r="M40" s="37"/>
      <c r="N40" s="149"/>
      <c r="O40" s="149"/>
      <c r="P40" s="149"/>
      <c r="Q40" s="36" t="str">
        <f t="shared" si="14"/>
        <v>--</v>
      </c>
      <c r="R40" s="38"/>
    </row>
    <row r="41" spans="1:18" ht="15" customHeight="1">
      <c r="A41" s="219"/>
      <c r="B41" s="33" t="s">
        <v>289</v>
      </c>
      <c r="C41" s="34"/>
      <c r="D41" s="149"/>
      <c r="E41" s="149"/>
      <c r="F41" s="149"/>
      <c r="G41" s="36" t="str">
        <f t="shared" si="12"/>
        <v>--</v>
      </c>
      <c r="H41" s="37"/>
      <c r="I41" s="149"/>
      <c r="J41" s="149"/>
      <c r="K41" s="149"/>
      <c r="L41" s="36" t="str">
        <f t="shared" si="13"/>
        <v>--</v>
      </c>
      <c r="M41" s="37"/>
      <c r="N41" s="149"/>
      <c r="O41" s="149"/>
      <c r="P41" s="149"/>
      <c r="Q41" s="36" t="str">
        <f t="shared" si="14"/>
        <v>--</v>
      </c>
      <c r="R41" s="38"/>
    </row>
    <row r="42" spans="1:18" ht="15" customHeight="1">
      <c r="A42" s="219"/>
      <c r="B42" s="33" t="s">
        <v>290</v>
      </c>
      <c r="C42" s="34"/>
      <c r="D42" s="149"/>
      <c r="E42" s="149"/>
      <c r="F42" s="149"/>
      <c r="G42" s="36" t="str">
        <f t="shared" si="12"/>
        <v>--</v>
      </c>
      <c r="H42" s="37"/>
      <c r="I42" s="149"/>
      <c r="J42" s="149"/>
      <c r="K42" s="149"/>
      <c r="L42" s="36" t="str">
        <f t="shared" si="13"/>
        <v>--</v>
      </c>
      <c r="M42" s="37"/>
      <c r="N42" s="149"/>
      <c r="O42" s="149"/>
      <c r="P42" s="149"/>
      <c r="Q42" s="36" t="str">
        <f t="shared" si="14"/>
        <v>--</v>
      </c>
      <c r="R42" s="38"/>
    </row>
    <row r="43" spans="1:18" ht="15" customHeight="1">
      <c r="A43" s="219"/>
      <c r="B43" s="33" t="s">
        <v>291</v>
      </c>
      <c r="C43" s="34"/>
      <c r="D43" s="149"/>
      <c r="E43" s="149"/>
      <c r="F43" s="149"/>
      <c r="G43" s="36" t="str">
        <f t="shared" si="12"/>
        <v>--</v>
      </c>
      <c r="H43" s="37"/>
      <c r="I43" s="149"/>
      <c r="J43" s="149"/>
      <c r="K43" s="149"/>
      <c r="L43" s="36" t="str">
        <f t="shared" si="13"/>
        <v>--</v>
      </c>
      <c r="M43" s="37"/>
      <c r="N43" s="149"/>
      <c r="O43" s="149"/>
      <c r="P43" s="149"/>
      <c r="Q43" s="36" t="str">
        <f t="shared" si="14"/>
        <v>--</v>
      </c>
      <c r="R43" s="38"/>
    </row>
    <row r="44" spans="1:18" ht="15" customHeight="1">
      <c r="A44" s="219"/>
      <c r="B44" s="33" t="s">
        <v>292</v>
      </c>
      <c r="C44" s="34"/>
      <c r="D44" s="149"/>
      <c r="E44" s="149"/>
      <c r="F44" s="149"/>
      <c r="G44" s="36" t="str">
        <f t="shared" si="12"/>
        <v>--</v>
      </c>
      <c r="H44" s="37"/>
      <c r="I44" s="149"/>
      <c r="J44" s="149"/>
      <c r="K44" s="149"/>
      <c r="L44" s="36" t="str">
        <f t="shared" si="13"/>
        <v>--</v>
      </c>
      <c r="M44" s="37"/>
      <c r="N44" s="149"/>
      <c r="O44" s="149"/>
      <c r="P44" s="149"/>
      <c r="Q44" s="36" t="str">
        <f t="shared" si="14"/>
        <v>--</v>
      </c>
      <c r="R44" s="38"/>
    </row>
    <row r="45" spans="1:18" ht="15" customHeight="1">
      <c r="A45" s="219"/>
      <c r="B45" s="33" t="s">
        <v>293</v>
      </c>
      <c r="C45" s="34"/>
      <c r="D45" s="149"/>
      <c r="E45" s="149"/>
      <c r="F45" s="149"/>
      <c r="G45" s="36" t="str">
        <f t="shared" si="12"/>
        <v>--</v>
      </c>
      <c r="H45" s="37"/>
      <c r="I45" s="149"/>
      <c r="J45" s="149"/>
      <c r="K45" s="149"/>
      <c r="L45" s="36" t="str">
        <f t="shared" si="13"/>
        <v>--</v>
      </c>
      <c r="M45" s="37"/>
      <c r="N45" s="149"/>
      <c r="O45" s="149"/>
      <c r="P45" s="149"/>
      <c r="Q45" s="36" t="str">
        <f t="shared" si="14"/>
        <v>--</v>
      </c>
      <c r="R45" s="38"/>
    </row>
    <row r="46" spans="1:18" ht="8.1" customHeight="1">
      <c r="A46" s="39"/>
      <c r="B46" s="40"/>
      <c r="C46" s="34"/>
      <c r="D46" s="140"/>
      <c r="E46" s="140"/>
      <c r="F46" s="140"/>
      <c r="G46" s="42"/>
      <c r="H46" s="41"/>
      <c r="I46" s="140"/>
      <c r="J46" s="140"/>
      <c r="K46" s="140"/>
      <c r="L46" s="42"/>
      <c r="M46" s="41"/>
      <c r="N46" s="140"/>
      <c r="O46" s="140"/>
      <c r="P46" s="140"/>
      <c r="Q46" s="42"/>
      <c r="R46" s="41"/>
    </row>
    <row r="47" spans="1:18" ht="15" customHeight="1">
      <c r="A47" s="218" t="s">
        <v>208</v>
      </c>
      <c r="B47" s="33" t="s">
        <v>295</v>
      </c>
      <c r="C47" s="34"/>
      <c r="D47" s="141">
        <v>8777</v>
      </c>
      <c r="E47" s="141">
        <v>8771</v>
      </c>
      <c r="F47" s="134">
        <v>8762</v>
      </c>
      <c r="G47" s="36">
        <f t="shared" ref="G47:G58" si="15">IFERROR(AVERAGE(D47:F47),"--")</f>
        <v>8770</v>
      </c>
      <c r="H47" s="37"/>
      <c r="I47" s="141">
        <v>9075</v>
      </c>
      <c r="J47" s="141">
        <v>9066</v>
      </c>
      <c r="K47" s="141">
        <v>9070</v>
      </c>
      <c r="L47" s="36">
        <f t="shared" ref="L47:L58" si="16">IFERROR(AVERAGE(I47:K47),"--")</f>
        <v>9070.3333333333339</v>
      </c>
      <c r="M47" s="37"/>
      <c r="N47" s="141">
        <v>9135</v>
      </c>
      <c r="O47" s="141">
        <v>9121</v>
      </c>
      <c r="P47" s="141">
        <v>9176</v>
      </c>
      <c r="Q47" s="36">
        <f t="shared" ref="Q47:Q58" si="17">IFERROR(AVERAGE(N47:P47),"--")</f>
        <v>9144</v>
      </c>
      <c r="R47" s="38"/>
    </row>
    <row r="48" spans="1:18" ht="15" customHeight="1">
      <c r="A48" s="218"/>
      <c r="B48" s="33" t="s">
        <v>296</v>
      </c>
      <c r="C48" s="34"/>
      <c r="D48" s="134">
        <v>11189</v>
      </c>
      <c r="E48" s="134">
        <v>11212</v>
      </c>
      <c r="F48" s="134">
        <v>11223</v>
      </c>
      <c r="G48" s="36">
        <f t="shared" si="15"/>
        <v>11208</v>
      </c>
      <c r="H48" s="37"/>
      <c r="I48" s="134">
        <v>11404</v>
      </c>
      <c r="J48" s="134">
        <v>11440</v>
      </c>
      <c r="K48" s="134">
        <v>11459</v>
      </c>
      <c r="L48" s="36">
        <f t="shared" si="16"/>
        <v>11434.333333333334</v>
      </c>
      <c r="M48" s="37"/>
      <c r="N48" s="134">
        <v>11427</v>
      </c>
      <c r="O48" s="134">
        <v>11408</v>
      </c>
      <c r="P48" s="134">
        <v>11466</v>
      </c>
      <c r="Q48" s="36">
        <f t="shared" si="17"/>
        <v>11433.666666666666</v>
      </c>
      <c r="R48" s="38"/>
    </row>
    <row r="49" spans="1:18" ht="15" customHeight="1">
      <c r="A49" s="218"/>
      <c r="B49" s="33" t="s">
        <v>297</v>
      </c>
      <c r="C49" s="34"/>
      <c r="D49" s="134">
        <v>14319</v>
      </c>
      <c r="E49" s="134">
        <v>14376</v>
      </c>
      <c r="F49" s="134">
        <v>14404</v>
      </c>
      <c r="G49" s="36">
        <f t="shared" si="15"/>
        <v>14366.333333333334</v>
      </c>
      <c r="H49" s="37"/>
      <c r="I49" s="134">
        <v>14962</v>
      </c>
      <c r="J49" s="134">
        <v>15005</v>
      </c>
      <c r="K49" s="134">
        <v>14997</v>
      </c>
      <c r="L49" s="36">
        <f t="shared" si="16"/>
        <v>14988</v>
      </c>
      <c r="M49" s="37"/>
      <c r="N49" s="134">
        <v>14927</v>
      </c>
      <c r="O49" s="134">
        <v>14936</v>
      </c>
      <c r="P49" s="134">
        <v>14944</v>
      </c>
      <c r="Q49" s="36">
        <f t="shared" si="17"/>
        <v>14935.666666666666</v>
      </c>
      <c r="R49" s="38"/>
    </row>
    <row r="50" spans="1:18" ht="15" customHeight="1">
      <c r="A50" s="218"/>
      <c r="B50" s="33" t="s">
        <v>298</v>
      </c>
      <c r="C50" s="34"/>
      <c r="D50" s="134">
        <v>9109</v>
      </c>
      <c r="E50" s="134">
        <v>9104</v>
      </c>
      <c r="F50" s="134">
        <v>9118</v>
      </c>
      <c r="G50" s="36">
        <f t="shared" si="15"/>
        <v>9110.3333333333339</v>
      </c>
      <c r="H50" s="37"/>
      <c r="I50" s="134">
        <v>9232</v>
      </c>
      <c r="J50" s="134">
        <v>9250</v>
      </c>
      <c r="K50" s="134">
        <v>9212</v>
      </c>
      <c r="L50" s="36">
        <f t="shared" si="16"/>
        <v>9231.3333333333339</v>
      </c>
      <c r="M50" s="37"/>
      <c r="N50" s="134">
        <v>9228</v>
      </c>
      <c r="O50" s="134">
        <v>9253</v>
      </c>
      <c r="P50" s="134">
        <v>9244</v>
      </c>
      <c r="Q50" s="36">
        <f t="shared" si="17"/>
        <v>9241.6666666666661</v>
      </c>
      <c r="R50" s="38"/>
    </row>
    <row r="51" spans="1:18" ht="15" customHeight="1">
      <c r="A51" s="218"/>
      <c r="B51" s="33" t="s">
        <v>299</v>
      </c>
      <c r="C51" s="34"/>
      <c r="D51" s="134">
        <v>10741</v>
      </c>
      <c r="E51" s="134">
        <v>10771</v>
      </c>
      <c r="F51" s="134">
        <v>10765</v>
      </c>
      <c r="G51" s="36">
        <f t="shared" si="15"/>
        <v>10759</v>
      </c>
      <c r="H51" s="37"/>
      <c r="I51" s="134">
        <v>10739</v>
      </c>
      <c r="J51" s="134">
        <v>10789</v>
      </c>
      <c r="K51" s="134">
        <v>10892</v>
      </c>
      <c r="L51" s="36">
        <f t="shared" si="16"/>
        <v>10806.666666666666</v>
      </c>
      <c r="M51" s="37"/>
      <c r="N51" s="134">
        <v>10834</v>
      </c>
      <c r="O51" s="134">
        <v>10744</v>
      </c>
      <c r="P51" s="134">
        <v>10914</v>
      </c>
      <c r="Q51" s="36">
        <f t="shared" si="17"/>
        <v>10830.666666666666</v>
      </c>
      <c r="R51" s="38"/>
    </row>
    <row r="52" spans="1:18" ht="15" customHeight="1">
      <c r="A52" s="218"/>
      <c r="B52" s="33" t="s">
        <v>300</v>
      </c>
      <c r="C52" s="34"/>
      <c r="D52" s="134">
        <v>11444</v>
      </c>
      <c r="E52" s="134">
        <v>11441</v>
      </c>
      <c r="F52" s="134">
        <v>11354</v>
      </c>
      <c r="G52" s="36">
        <f t="shared" si="15"/>
        <v>11413</v>
      </c>
      <c r="H52" s="37"/>
      <c r="I52" s="134">
        <v>11979</v>
      </c>
      <c r="J52" s="134">
        <v>11945</v>
      </c>
      <c r="K52" s="134">
        <v>11982</v>
      </c>
      <c r="L52" s="36">
        <f t="shared" si="16"/>
        <v>11968.666666666666</v>
      </c>
      <c r="M52" s="37"/>
      <c r="N52" s="134">
        <v>10264</v>
      </c>
      <c r="O52" s="134">
        <v>11825</v>
      </c>
      <c r="P52" s="134">
        <v>11994</v>
      </c>
      <c r="Q52" s="36">
        <f t="shared" si="17"/>
        <v>11361</v>
      </c>
      <c r="R52" s="38"/>
    </row>
    <row r="53" spans="1:18" ht="15" customHeight="1">
      <c r="A53" s="218"/>
      <c r="B53" s="33" t="s">
        <v>301</v>
      </c>
      <c r="C53" s="34"/>
      <c r="D53" s="134">
        <v>15322</v>
      </c>
      <c r="E53" s="134">
        <v>15281</v>
      </c>
      <c r="F53" s="134">
        <v>15160</v>
      </c>
      <c r="G53" s="36">
        <f t="shared" si="15"/>
        <v>15254.333333333334</v>
      </c>
      <c r="H53" s="37"/>
      <c r="I53" s="134">
        <v>15971</v>
      </c>
      <c r="J53" s="134">
        <v>15950</v>
      </c>
      <c r="K53" s="134">
        <v>15980</v>
      </c>
      <c r="L53" s="36">
        <f t="shared" si="16"/>
        <v>15967</v>
      </c>
      <c r="M53" s="37"/>
      <c r="N53" s="134">
        <v>12920</v>
      </c>
      <c r="O53" s="134">
        <v>15646</v>
      </c>
      <c r="P53" s="134">
        <v>15924</v>
      </c>
      <c r="Q53" s="36">
        <f t="shared" si="17"/>
        <v>14830</v>
      </c>
      <c r="R53" s="38"/>
    </row>
    <row r="54" spans="1:18" ht="15" customHeight="1">
      <c r="A54" s="218"/>
      <c r="B54" s="33" t="s">
        <v>302</v>
      </c>
      <c r="C54" s="34"/>
      <c r="D54" s="134">
        <v>8549</v>
      </c>
      <c r="E54" s="134">
        <v>8566</v>
      </c>
      <c r="F54" s="134">
        <v>8505</v>
      </c>
      <c r="G54" s="36">
        <f t="shared" si="15"/>
        <v>8540</v>
      </c>
      <c r="H54" s="37"/>
      <c r="I54" s="134">
        <v>8986</v>
      </c>
      <c r="J54" s="134">
        <v>8947</v>
      </c>
      <c r="K54" s="134">
        <v>8985</v>
      </c>
      <c r="L54" s="36">
        <f t="shared" si="16"/>
        <v>8972.6666666666661</v>
      </c>
      <c r="M54" s="37"/>
      <c r="N54" s="134">
        <v>8155</v>
      </c>
      <c r="O54" s="134">
        <v>8938</v>
      </c>
      <c r="P54" s="134">
        <v>9034</v>
      </c>
      <c r="Q54" s="36">
        <f t="shared" si="17"/>
        <v>8709</v>
      </c>
      <c r="R54" s="38"/>
    </row>
    <row r="55" spans="1:18" ht="15" customHeight="1">
      <c r="A55" s="218"/>
      <c r="B55" s="33" t="s">
        <v>303</v>
      </c>
      <c r="C55" s="34"/>
      <c r="D55" s="134">
        <v>14330</v>
      </c>
      <c r="E55" s="134">
        <v>14275</v>
      </c>
      <c r="F55" s="134">
        <v>14326</v>
      </c>
      <c r="G55" s="36">
        <f t="shared" si="15"/>
        <v>14310.333333333334</v>
      </c>
      <c r="H55" s="37"/>
      <c r="I55" s="134">
        <v>14845</v>
      </c>
      <c r="J55" s="134">
        <v>14796</v>
      </c>
      <c r="K55" s="134">
        <v>14746</v>
      </c>
      <c r="L55" s="36">
        <f t="shared" si="16"/>
        <v>14795.666666666666</v>
      </c>
      <c r="M55" s="37"/>
      <c r="N55" s="134">
        <v>15097</v>
      </c>
      <c r="O55" s="134">
        <v>15267</v>
      </c>
      <c r="P55" s="134">
        <v>15245</v>
      </c>
      <c r="Q55" s="36">
        <f t="shared" si="17"/>
        <v>15203</v>
      </c>
      <c r="R55" s="38"/>
    </row>
    <row r="56" spans="1:18" ht="15" customHeight="1">
      <c r="A56" s="218"/>
      <c r="B56" s="33" t="s">
        <v>304</v>
      </c>
      <c r="C56" s="34"/>
      <c r="D56" s="134">
        <v>20765</v>
      </c>
      <c r="E56" s="134">
        <v>20620</v>
      </c>
      <c r="F56" s="134">
        <v>20772</v>
      </c>
      <c r="G56" s="36">
        <f t="shared" si="15"/>
        <v>20719</v>
      </c>
      <c r="H56" s="37"/>
      <c r="I56" s="134">
        <v>21860</v>
      </c>
      <c r="J56" s="134">
        <v>21502</v>
      </c>
      <c r="K56" s="134">
        <v>21189</v>
      </c>
      <c r="L56" s="36">
        <f t="shared" si="16"/>
        <v>21517</v>
      </c>
      <c r="M56" s="37"/>
      <c r="N56" s="134">
        <v>21728</v>
      </c>
      <c r="O56" s="134">
        <v>22283</v>
      </c>
      <c r="P56" s="134">
        <v>21801</v>
      </c>
      <c r="Q56" s="36">
        <f t="shared" si="17"/>
        <v>21937.333333333332</v>
      </c>
      <c r="R56" s="38"/>
    </row>
    <row r="57" spans="1:18" ht="15" customHeight="1">
      <c r="A57" s="218"/>
      <c r="B57" s="33" t="s">
        <v>305</v>
      </c>
      <c r="C57" s="34"/>
      <c r="D57" s="134">
        <v>18029</v>
      </c>
      <c r="E57" s="134">
        <v>17979</v>
      </c>
      <c r="F57" s="134">
        <v>17957</v>
      </c>
      <c r="G57" s="36">
        <f t="shared" si="15"/>
        <v>17988.333333333332</v>
      </c>
      <c r="H57" s="37"/>
      <c r="I57" s="134">
        <v>18781</v>
      </c>
      <c r="J57" s="134">
        <v>18850</v>
      </c>
      <c r="K57" s="134">
        <v>18941</v>
      </c>
      <c r="L57" s="36">
        <f t="shared" si="16"/>
        <v>18857.333333333332</v>
      </c>
      <c r="M57" s="37"/>
      <c r="N57" s="134">
        <v>20208</v>
      </c>
      <c r="O57" s="134">
        <v>20301</v>
      </c>
      <c r="P57" s="134">
        <v>20328</v>
      </c>
      <c r="Q57" s="36">
        <f t="shared" si="17"/>
        <v>20279</v>
      </c>
      <c r="R57" s="38"/>
    </row>
    <row r="58" spans="1:18" ht="15" customHeight="1">
      <c r="A58" s="218"/>
      <c r="B58" s="33" t="s">
        <v>306</v>
      </c>
      <c r="C58" s="34"/>
      <c r="D58" s="134">
        <v>7861</v>
      </c>
      <c r="E58" s="134">
        <v>7847</v>
      </c>
      <c r="F58" s="134">
        <v>7884</v>
      </c>
      <c r="G58" s="36">
        <f t="shared" si="15"/>
        <v>7864</v>
      </c>
      <c r="H58" s="37"/>
      <c r="I58" s="134">
        <v>7969</v>
      </c>
      <c r="J58" s="134">
        <v>7993</v>
      </c>
      <c r="K58" s="134">
        <v>7990</v>
      </c>
      <c r="L58" s="36">
        <f t="shared" si="16"/>
        <v>7984</v>
      </c>
      <c r="M58" s="37"/>
      <c r="N58" s="134">
        <v>7838</v>
      </c>
      <c r="O58" s="134">
        <v>7867</v>
      </c>
      <c r="P58" s="134">
        <v>7995</v>
      </c>
      <c r="Q58" s="36">
        <f t="shared" si="17"/>
        <v>7900</v>
      </c>
      <c r="R58" s="38"/>
    </row>
    <row r="59" spans="1:18" ht="8.1" customHeight="1">
      <c r="A59" s="39"/>
      <c r="B59" s="40"/>
      <c r="C59" s="34"/>
      <c r="D59" s="66"/>
      <c r="E59" s="66"/>
      <c r="F59" s="66"/>
      <c r="G59" s="42"/>
      <c r="H59" s="41"/>
      <c r="I59" s="66"/>
      <c r="J59" s="66"/>
      <c r="K59" s="66"/>
      <c r="L59" s="42"/>
      <c r="M59" s="41"/>
      <c r="N59" s="66"/>
      <c r="O59" s="66"/>
      <c r="P59" s="66"/>
      <c r="Q59" s="42"/>
      <c r="R59" s="41"/>
    </row>
    <row r="60" spans="1:18" ht="15" customHeight="1">
      <c r="A60" s="67" t="s">
        <v>307</v>
      </c>
      <c r="B60" s="33" t="s">
        <v>308</v>
      </c>
      <c r="C60" s="34"/>
      <c r="D60" s="65">
        <v>265</v>
      </c>
      <c r="E60" s="65">
        <v>262</v>
      </c>
      <c r="F60" s="65">
        <v>266</v>
      </c>
      <c r="G60" s="36">
        <f>IFERROR(AVERAGE(D60:F60),"--")</f>
        <v>264.33333333333331</v>
      </c>
      <c r="H60" s="37"/>
      <c r="I60" s="65">
        <v>256</v>
      </c>
      <c r="J60" s="65">
        <v>253</v>
      </c>
      <c r="K60" s="65">
        <v>257</v>
      </c>
      <c r="L60" s="36">
        <f>IFERROR(AVERAGE(I60:K60),"--")</f>
        <v>255.33333333333334</v>
      </c>
      <c r="M60" s="37"/>
      <c r="N60" s="65">
        <v>238</v>
      </c>
      <c r="O60" s="65">
        <v>236</v>
      </c>
      <c r="P60" s="65">
        <v>238</v>
      </c>
      <c r="Q60" s="36">
        <f>IFERROR(AVERAGE(N60:P60),"--")</f>
        <v>237.33333333333334</v>
      </c>
      <c r="R60" s="38"/>
    </row>
    <row r="61" spans="1:18" ht="8.1" customHeight="1">
      <c r="A61" s="68"/>
      <c r="B61" s="40"/>
      <c r="C61" s="34"/>
      <c r="D61" s="41"/>
      <c r="E61" s="41"/>
      <c r="F61" s="41"/>
      <c r="G61" s="42"/>
      <c r="H61" s="41"/>
      <c r="I61" s="41"/>
      <c r="J61" s="41"/>
      <c r="K61" s="41"/>
      <c r="L61" s="42"/>
      <c r="M61" s="41"/>
      <c r="N61" s="41"/>
      <c r="O61" s="41"/>
      <c r="P61" s="41"/>
      <c r="Q61" s="42"/>
      <c r="R61" s="41"/>
    </row>
    <row r="62" spans="1:18" ht="82.5" customHeight="1">
      <c r="A62" s="220" t="s">
        <v>428</v>
      </c>
      <c r="B62" s="33" t="s">
        <v>310</v>
      </c>
      <c r="C62" s="34"/>
      <c r="D62" s="35">
        <v>280</v>
      </c>
      <c r="E62" s="35">
        <v>283</v>
      </c>
      <c r="F62" s="35">
        <v>285</v>
      </c>
      <c r="G62" s="36">
        <f t="shared" ref="G62:G73" si="18">IFERROR(AVERAGE(D62:F62),"--")</f>
        <v>282.66666666666669</v>
      </c>
      <c r="H62" s="37"/>
      <c r="I62" s="35">
        <v>291</v>
      </c>
      <c r="J62" s="35">
        <v>284</v>
      </c>
      <c r="K62" s="35">
        <v>300</v>
      </c>
      <c r="L62" s="36">
        <f t="shared" ref="L62:L73" si="19">IFERROR(AVERAGE(I62:K62),"--")</f>
        <v>291.66666666666669</v>
      </c>
      <c r="M62" s="37"/>
      <c r="N62" s="35">
        <v>319</v>
      </c>
      <c r="O62" s="35">
        <v>321</v>
      </c>
      <c r="P62" s="35">
        <v>311</v>
      </c>
      <c r="Q62" s="36">
        <f t="shared" ref="Q62:Q73" si="20">IFERROR(AVERAGE(N62:P62),"--")</f>
        <v>317</v>
      </c>
      <c r="R62" s="38"/>
    </row>
    <row r="63" spans="1:18" ht="15" customHeight="1">
      <c r="A63" s="221"/>
      <c r="B63" s="33" t="s">
        <v>311</v>
      </c>
      <c r="C63" s="34"/>
      <c r="D63" s="35">
        <v>211</v>
      </c>
      <c r="E63" s="35">
        <v>211</v>
      </c>
      <c r="F63" s="35">
        <v>214</v>
      </c>
      <c r="G63" s="36">
        <f t="shared" si="18"/>
        <v>212</v>
      </c>
      <c r="H63" s="37"/>
      <c r="I63" s="35">
        <v>217</v>
      </c>
      <c r="J63" s="35">
        <v>220</v>
      </c>
      <c r="K63" s="35">
        <v>221</v>
      </c>
      <c r="L63" s="36">
        <f t="shared" si="19"/>
        <v>219.33333333333334</v>
      </c>
      <c r="M63" s="37"/>
      <c r="N63" s="35">
        <v>233</v>
      </c>
      <c r="O63" s="35">
        <v>234</v>
      </c>
      <c r="P63" s="35">
        <v>231</v>
      </c>
      <c r="Q63" s="36">
        <f t="shared" si="20"/>
        <v>232.66666666666666</v>
      </c>
      <c r="R63" s="38"/>
    </row>
    <row r="64" spans="1:18" ht="15" customHeight="1">
      <c r="A64" s="222"/>
      <c r="B64" s="33" t="s">
        <v>312</v>
      </c>
      <c r="C64" s="34"/>
      <c r="D64" s="35">
        <v>342</v>
      </c>
      <c r="E64" s="35">
        <v>340</v>
      </c>
      <c r="F64" s="35">
        <v>347</v>
      </c>
      <c r="G64" s="36">
        <f t="shared" si="18"/>
        <v>343</v>
      </c>
      <c r="H64" s="37"/>
      <c r="I64" s="35">
        <v>350</v>
      </c>
      <c r="J64" s="35">
        <v>363</v>
      </c>
      <c r="K64" s="35">
        <v>363</v>
      </c>
      <c r="L64" s="36">
        <f t="shared" si="19"/>
        <v>358.66666666666669</v>
      </c>
      <c r="M64" s="37"/>
      <c r="N64" s="35">
        <v>385</v>
      </c>
      <c r="O64" s="35">
        <v>388</v>
      </c>
      <c r="P64" s="35">
        <v>370</v>
      </c>
      <c r="Q64" s="36">
        <f t="shared" si="20"/>
        <v>381</v>
      </c>
      <c r="R64" s="38"/>
    </row>
    <row r="65" spans="1:33" ht="109.5" customHeight="1">
      <c r="A65" s="215" t="s">
        <v>313</v>
      </c>
      <c r="B65" s="33" t="s">
        <v>310</v>
      </c>
      <c r="C65" s="34"/>
      <c r="D65" s="35">
        <v>175</v>
      </c>
      <c r="E65" s="35">
        <v>163</v>
      </c>
      <c r="F65" s="35">
        <v>176</v>
      </c>
      <c r="G65" s="36">
        <f t="shared" si="18"/>
        <v>171.33333333333334</v>
      </c>
      <c r="H65" s="37"/>
      <c r="I65" s="35">
        <v>171</v>
      </c>
      <c r="J65" s="35">
        <v>172</v>
      </c>
      <c r="K65" s="35">
        <v>179</v>
      </c>
      <c r="L65" s="36">
        <f t="shared" si="19"/>
        <v>174</v>
      </c>
      <c r="M65" s="37"/>
      <c r="N65" s="35">
        <v>192</v>
      </c>
      <c r="O65" s="35">
        <v>187</v>
      </c>
      <c r="P65" s="35">
        <v>188</v>
      </c>
      <c r="Q65" s="36">
        <f t="shared" si="20"/>
        <v>189</v>
      </c>
      <c r="R65" s="38"/>
    </row>
    <row r="66" spans="1:33" ht="15" customHeight="1">
      <c r="A66" s="216"/>
      <c r="B66" s="33" t="s">
        <v>311</v>
      </c>
      <c r="C66" s="34"/>
      <c r="D66" s="35">
        <v>139</v>
      </c>
      <c r="E66" s="35">
        <v>131</v>
      </c>
      <c r="F66" s="35">
        <v>140</v>
      </c>
      <c r="G66" s="36">
        <f t="shared" si="18"/>
        <v>136.66666666666666</v>
      </c>
      <c r="H66" s="37"/>
      <c r="I66" s="35">
        <v>136</v>
      </c>
      <c r="J66" s="35">
        <v>136</v>
      </c>
      <c r="K66" s="35">
        <v>141</v>
      </c>
      <c r="L66" s="36">
        <f t="shared" si="19"/>
        <v>137.66666666666666</v>
      </c>
      <c r="M66" s="37"/>
      <c r="N66" s="35">
        <v>153</v>
      </c>
      <c r="O66" s="35">
        <v>146</v>
      </c>
      <c r="P66" s="35">
        <v>150</v>
      </c>
      <c r="Q66" s="36">
        <f t="shared" si="20"/>
        <v>149.66666666666666</v>
      </c>
      <c r="R66" s="38"/>
    </row>
    <row r="67" spans="1:33" ht="15" customHeight="1">
      <c r="A67" s="217"/>
      <c r="B67" s="33" t="s">
        <v>312</v>
      </c>
      <c r="C67" s="34"/>
      <c r="D67" s="35">
        <v>208</v>
      </c>
      <c r="E67" s="35">
        <v>191</v>
      </c>
      <c r="F67" s="35">
        <v>210</v>
      </c>
      <c r="G67" s="36">
        <f t="shared" si="18"/>
        <v>203</v>
      </c>
      <c r="H67" s="37"/>
      <c r="I67" s="35">
        <v>199</v>
      </c>
      <c r="J67" s="35">
        <v>202</v>
      </c>
      <c r="K67" s="35">
        <v>209</v>
      </c>
      <c r="L67" s="36">
        <f t="shared" si="19"/>
        <v>203.33333333333334</v>
      </c>
      <c r="M67" s="37"/>
      <c r="N67" s="35">
        <v>224</v>
      </c>
      <c r="O67" s="35">
        <v>221</v>
      </c>
      <c r="P67" s="35">
        <v>219</v>
      </c>
      <c r="Q67" s="36">
        <f t="shared" si="20"/>
        <v>221.33333333333334</v>
      </c>
      <c r="R67" s="38"/>
    </row>
    <row r="68" spans="1:33" ht="15" customHeight="1">
      <c r="A68" s="212" t="s">
        <v>314</v>
      </c>
      <c r="B68" s="33" t="s">
        <v>310</v>
      </c>
      <c r="C68" s="34"/>
      <c r="D68" s="35"/>
      <c r="E68" s="35"/>
      <c r="F68" s="35"/>
      <c r="G68" s="36"/>
      <c r="H68" s="37"/>
      <c r="I68" s="35"/>
      <c r="J68" s="35"/>
      <c r="K68" s="35"/>
      <c r="L68" s="36"/>
      <c r="M68" s="37"/>
      <c r="N68" s="35"/>
      <c r="O68" s="35"/>
      <c r="P68" s="35"/>
      <c r="Q68" s="36"/>
      <c r="R68" s="38"/>
    </row>
    <row r="69" spans="1:33" s="55" customFormat="1" ht="15" customHeight="1">
      <c r="A69" s="212"/>
      <c r="B69" s="33" t="s">
        <v>311</v>
      </c>
      <c r="C69" s="34"/>
      <c r="D69" s="35"/>
      <c r="E69" s="35"/>
      <c r="F69" s="35"/>
      <c r="G69" s="36"/>
      <c r="H69" s="37"/>
      <c r="I69" s="35"/>
      <c r="J69" s="35"/>
      <c r="K69" s="35"/>
      <c r="L69" s="36"/>
      <c r="M69" s="37"/>
      <c r="N69" s="35"/>
      <c r="O69" s="35"/>
      <c r="P69" s="35"/>
      <c r="Q69" s="36"/>
      <c r="R69" s="38"/>
    </row>
    <row r="70" spans="1:33" ht="15" customHeight="1">
      <c r="A70" s="212"/>
      <c r="B70" s="33" t="s">
        <v>312</v>
      </c>
      <c r="C70" s="34"/>
      <c r="D70" s="35"/>
      <c r="E70" s="35"/>
      <c r="F70" s="35"/>
      <c r="G70" s="36"/>
      <c r="H70" s="37"/>
      <c r="I70" s="35"/>
      <c r="J70" s="35"/>
      <c r="K70" s="35"/>
      <c r="L70" s="36"/>
      <c r="M70" s="37"/>
      <c r="N70" s="35"/>
      <c r="O70" s="35"/>
      <c r="P70" s="35"/>
      <c r="Q70" s="36"/>
      <c r="R70" s="38"/>
      <c r="AE70" s="70"/>
      <c r="AG70" s="70"/>
    </row>
    <row r="71" spans="1:33" ht="15" customHeight="1">
      <c r="A71" s="212" t="s">
        <v>315</v>
      </c>
      <c r="B71" s="33" t="s">
        <v>310</v>
      </c>
      <c r="C71" s="34"/>
      <c r="D71" s="35"/>
      <c r="E71" s="35"/>
      <c r="F71" s="35"/>
      <c r="G71" s="36" t="str">
        <f t="shared" si="18"/>
        <v>--</v>
      </c>
      <c r="H71" s="37"/>
      <c r="I71" s="35"/>
      <c r="J71" s="35"/>
      <c r="K71" s="35"/>
      <c r="L71" s="36" t="str">
        <f t="shared" si="19"/>
        <v>--</v>
      </c>
      <c r="M71" s="37"/>
      <c r="N71" s="35"/>
      <c r="O71" s="35"/>
      <c r="P71" s="35"/>
      <c r="Q71" s="36" t="str">
        <f t="shared" si="20"/>
        <v>--</v>
      </c>
      <c r="R71" s="38"/>
    </row>
    <row r="72" spans="1:33" ht="15" customHeight="1">
      <c r="A72" s="212"/>
      <c r="B72" s="33" t="s">
        <v>311</v>
      </c>
      <c r="C72" s="34"/>
      <c r="D72" s="35"/>
      <c r="E72" s="35"/>
      <c r="F72" s="35"/>
      <c r="G72" s="36" t="str">
        <f t="shared" si="18"/>
        <v>--</v>
      </c>
      <c r="H72" s="37"/>
      <c r="I72" s="35"/>
      <c r="J72" s="35"/>
      <c r="K72" s="35"/>
      <c r="L72" s="36" t="str">
        <f t="shared" si="19"/>
        <v>--</v>
      </c>
      <c r="M72" s="37"/>
      <c r="N72" s="35"/>
      <c r="O72" s="35"/>
      <c r="P72" s="35"/>
      <c r="Q72" s="36" t="str">
        <f t="shared" si="20"/>
        <v>--</v>
      </c>
      <c r="R72" s="38"/>
    </row>
    <row r="73" spans="1:33" ht="15" customHeight="1">
      <c r="A73" s="212"/>
      <c r="B73" s="33" t="s">
        <v>312</v>
      </c>
      <c r="C73" s="34"/>
      <c r="D73" s="35"/>
      <c r="E73" s="35"/>
      <c r="F73" s="35"/>
      <c r="G73" s="36" t="str">
        <f t="shared" si="18"/>
        <v>--</v>
      </c>
      <c r="H73" s="37"/>
      <c r="I73" s="35"/>
      <c r="J73" s="35"/>
      <c r="K73" s="35"/>
      <c r="L73" s="36" t="str">
        <f t="shared" si="19"/>
        <v>--</v>
      </c>
      <c r="M73" s="37"/>
      <c r="N73" s="35"/>
      <c r="O73" s="35"/>
      <c r="P73" s="35"/>
      <c r="Q73" s="36" t="str">
        <f t="shared" si="20"/>
        <v>--</v>
      </c>
      <c r="R73" s="38"/>
    </row>
    <row r="74" spans="1:33" ht="8.1" customHeight="1">
      <c r="A74" s="68"/>
      <c r="B74" s="40"/>
      <c r="C74" s="34"/>
      <c r="D74" s="41"/>
      <c r="E74" s="41"/>
      <c r="F74" s="41"/>
      <c r="G74" s="42"/>
      <c r="H74" s="41"/>
      <c r="I74" s="41"/>
      <c r="J74" s="41"/>
      <c r="K74" s="41"/>
      <c r="L74" s="42"/>
      <c r="M74" s="41"/>
      <c r="N74" s="41"/>
      <c r="O74" s="41"/>
      <c r="P74" s="41"/>
      <c r="Q74" s="42"/>
      <c r="R74" s="41"/>
    </row>
    <row r="75" spans="1:33" ht="15" customHeight="1">
      <c r="A75" s="213" t="s">
        <v>316</v>
      </c>
      <c r="B75" s="33" t="s">
        <v>310</v>
      </c>
      <c r="C75" s="34"/>
      <c r="D75" s="65">
        <v>97.65</v>
      </c>
      <c r="E75" s="65">
        <v>101.77</v>
      </c>
      <c r="F75" s="65">
        <v>103.36</v>
      </c>
      <c r="G75" s="36">
        <f t="shared" ref="G75:G86" si="21">IFERROR(AVERAGE(D75:F75),"--")</f>
        <v>100.92666666666668</v>
      </c>
      <c r="H75" s="37"/>
      <c r="I75" s="65">
        <v>107.5</v>
      </c>
      <c r="J75" s="65">
        <v>108.6</v>
      </c>
      <c r="K75" s="65">
        <v>109.69</v>
      </c>
      <c r="L75" s="36">
        <f t="shared" ref="L75:L86" si="22">IFERROR(AVERAGE(I75:K75),"--")</f>
        <v>108.59666666666665</v>
      </c>
      <c r="M75" s="37"/>
      <c r="N75" s="65">
        <v>121.97</v>
      </c>
      <c r="O75" s="65">
        <v>121.46</v>
      </c>
      <c r="P75" s="65">
        <v>120.8</v>
      </c>
      <c r="Q75" s="36">
        <f t="shared" ref="Q75:Q86" si="23">IFERROR(AVERAGE(N75:P75),"--")</f>
        <v>121.41000000000001</v>
      </c>
      <c r="R75" s="38"/>
    </row>
    <row r="76" spans="1:33" ht="15" customHeight="1">
      <c r="A76" s="213"/>
      <c r="B76" s="33" t="s">
        <v>311</v>
      </c>
      <c r="C76" s="34"/>
      <c r="D76" s="65">
        <v>43.14</v>
      </c>
      <c r="E76" s="65">
        <v>44.51</v>
      </c>
      <c r="F76" s="65">
        <v>44.59</v>
      </c>
      <c r="G76" s="36">
        <f t="shared" si="21"/>
        <v>44.080000000000005</v>
      </c>
      <c r="H76" s="37"/>
      <c r="I76" s="65">
        <v>46.81</v>
      </c>
      <c r="J76" s="65">
        <v>47.76</v>
      </c>
      <c r="K76" s="65">
        <v>47.94</v>
      </c>
      <c r="L76" s="36">
        <f t="shared" si="22"/>
        <v>47.50333333333333</v>
      </c>
      <c r="M76" s="37"/>
      <c r="N76" s="65">
        <v>58.94</v>
      </c>
      <c r="O76" s="65">
        <v>59.73</v>
      </c>
      <c r="P76" s="65">
        <v>52.65</v>
      </c>
      <c r="Q76" s="36">
        <f t="shared" si="23"/>
        <v>57.106666666666662</v>
      </c>
      <c r="R76" s="38"/>
    </row>
    <row r="77" spans="1:33" ht="15" customHeight="1">
      <c r="A77" s="213"/>
      <c r="B77" s="33" t="s">
        <v>312</v>
      </c>
      <c r="C77" s="34"/>
      <c r="D77" s="65">
        <v>148.94</v>
      </c>
      <c r="E77" s="65">
        <v>158.55000000000001</v>
      </c>
      <c r="F77" s="65">
        <v>159.66999999999999</v>
      </c>
      <c r="G77" s="36">
        <f t="shared" si="21"/>
        <v>155.72</v>
      </c>
      <c r="H77" s="37"/>
      <c r="I77" s="65">
        <v>165.45</v>
      </c>
      <c r="J77" s="65">
        <v>167.87</v>
      </c>
      <c r="K77" s="65">
        <v>170.3</v>
      </c>
      <c r="L77" s="36">
        <f t="shared" si="22"/>
        <v>167.87333333333333</v>
      </c>
      <c r="M77" s="37"/>
      <c r="N77" s="65">
        <v>185.43</v>
      </c>
      <c r="O77" s="65">
        <v>183.32</v>
      </c>
      <c r="P77" s="65">
        <v>183.32</v>
      </c>
      <c r="Q77" s="36">
        <f t="shared" si="23"/>
        <v>184.02333333333331</v>
      </c>
      <c r="R77" s="38"/>
    </row>
    <row r="78" spans="1:33" ht="15" customHeight="1">
      <c r="A78" s="214" t="s">
        <v>317</v>
      </c>
      <c r="B78" s="33" t="s">
        <v>310</v>
      </c>
      <c r="C78" s="34"/>
      <c r="D78" s="65">
        <v>75.849999999999994</v>
      </c>
      <c r="E78" s="65">
        <v>76.069999999999993</v>
      </c>
      <c r="F78" s="65">
        <v>76.12</v>
      </c>
      <c r="G78" s="36">
        <f t="shared" si="21"/>
        <v>76.013333333333335</v>
      </c>
      <c r="H78" s="37"/>
      <c r="I78" s="65">
        <v>79.2</v>
      </c>
      <c r="J78" s="65">
        <v>78.77</v>
      </c>
      <c r="K78" s="65">
        <v>77.63</v>
      </c>
      <c r="L78" s="36">
        <f t="shared" si="22"/>
        <v>78.533333333333331</v>
      </c>
      <c r="M78" s="37"/>
      <c r="N78" s="65">
        <v>82.83</v>
      </c>
      <c r="O78" s="65">
        <v>83.63</v>
      </c>
      <c r="P78" s="65">
        <v>85.72</v>
      </c>
      <c r="Q78" s="36">
        <f t="shared" si="23"/>
        <v>84.059999999999988</v>
      </c>
      <c r="R78" s="38"/>
    </row>
    <row r="79" spans="1:33" ht="15" customHeight="1">
      <c r="A79" s="214"/>
      <c r="B79" s="33" t="s">
        <v>311</v>
      </c>
      <c r="C79" s="34"/>
      <c r="D79" s="65">
        <v>41.89</v>
      </c>
      <c r="E79" s="65">
        <v>42.15</v>
      </c>
      <c r="F79" s="65">
        <v>42.68</v>
      </c>
      <c r="G79" s="36">
        <f t="shared" si="21"/>
        <v>42.24</v>
      </c>
      <c r="H79" s="37"/>
      <c r="I79" s="65">
        <v>44.94</v>
      </c>
      <c r="J79" s="65">
        <v>44.7</v>
      </c>
      <c r="K79" s="65">
        <v>43.84</v>
      </c>
      <c r="L79" s="36">
        <f t="shared" si="22"/>
        <v>44.493333333333339</v>
      </c>
      <c r="M79" s="37"/>
      <c r="N79" s="65">
        <v>45.46</v>
      </c>
      <c r="O79" s="65">
        <v>46.25</v>
      </c>
      <c r="P79" s="65">
        <v>48.84</v>
      </c>
      <c r="Q79" s="36">
        <f t="shared" si="23"/>
        <v>46.85</v>
      </c>
      <c r="R79" s="38"/>
    </row>
    <row r="80" spans="1:33" ht="15" customHeight="1">
      <c r="A80" s="214"/>
      <c r="B80" s="33" t="s">
        <v>312</v>
      </c>
      <c r="C80" s="34"/>
      <c r="D80" s="65">
        <v>109.67</v>
      </c>
      <c r="E80" s="65">
        <v>110.3</v>
      </c>
      <c r="F80" s="65">
        <v>109.77</v>
      </c>
      <c r="G80" s="36">
        <f t="shared" si="21"/>
        <v>109.91333333333334</v>
      </c>
      <c r="H80" s="37"/>
      <c r="I80" s="65">
        <v>112.79</v>
      </c>
      <c r="J80" s="65">
        <v>113.33</v>
      </c>
      <c r="K80" s="65">
        <v>110.3</v>
      </c>
      <c r="L80" s="36">
        <f t="shared" si="22"/>
        <v>112.14</v>
      </c>
      <c r="M80" s="37"/>
      <c r="N80" s="65">
        <v>118.37</v>
      </c>
      <c r="O80" s="65">
        <v>117.59</v>
      </c>
      <c r="P80" s="65">
        <v>119.56</v>
      </c>
      <c r="Q80" s="36">
        <f t="shared" si="23"/>
        <v>118.50666666666666</v>
      </c>
      <c r="R80" s="38"/>
    </row>
    <row r="81" spans="1:18" ht="15" customHeight="1">
      <c r="A81" s="212" t="s">
        <v>318</v>
      </c>
      <c r="B81" s="33" t="s">
        <v>310</v>
      </c>
      <c r="C81" s="34"/>
      <c r="D81" s="65"/>
      <c r="E81" s="65"/>
      <c r="F81" s="65"/>
      <c r="G81" s="36"/>
      <c r="H81" s="37"/>
      <c r="I81" s="65"/>
      <c r="J81" s="65"/>
      <c r="K81" s="65"/>
      <c r="L81" s="36"/>
      <c r="M81" s="37"/>
      <c r="N81" s="65"/>
      <c r="O81" s="65"/>
      <c r="P81" s="65"/>
      <c r="Q81" s="36"/>
      <c r="R81" s="38"/>
    </row>
    <row r="82" spans="1:18" ht="15" customHeight="1">
      <c r="A82" s="212"/>
      <c r="B82" s="33" t="s">
        <v>311</v>
      </c>
      <c r="C82" s="34"/>
      <c r="D82" s="65"/>
      <c r="E82" s="65"/>
      <c r="F82" s="65"/>
      <c r="G82" s="36"/>
      <c r="H82" s="37"/>
      <c r="I82" s="65"/>
      <c r="J82" s="65"/>
      <c r="K82" s="65"/>
      <c r="L82" s="36"/>
      <c r="M82" s="37"/>
      <c r="N82" s="65"/>
      <c r="O82" s="65"/>
      <c r="P82" s="65"/>
      <c r="Q82" s="36"/>
      <c r="R82" s="38"/>
    </row>
    <row r="83" spans="1:18" ht="15" customHeight="1">
      <c r="A83" s="212"/>
      <c r="B83" s="33" t="s">
        <v>312</v>
      </c>
      <c r="C83" s="34"/>
      <c r="D83" s="65"/>
      <c r="E83" s="65"/>
      <c r="F83" s="65"/>
      <c r="G83" s="36"/>
      <c r="H83" s="37"/>
      <c r="I83" s="65"/>
      <c r="J83" s="65"/>
      <c r="K83" s="65"/>
      <c r="L83" s="36"/>
      <c r="M83" s="37"/>
      <c r="N83" s="65"/>
      <c r="O83" s="65"/>
      <c r="P83" s="65"/>
      <c r="Q83" s="36"/>
      <c r="R83" s="38"/>
    </row>
    <row r="84" spans="1:18" ht="15" customHeight="1">
      <c r="A84" s="212" t="s">
        <v>319</v>
      </c>
      <c r="B84" s="33" t="s">
        <v>310</v>
      </c>
      <c r="C84" s="34"/>
      <c r="D84" s="65"/>
      <c r="E84" s="65"/>
      <c r="F84" s="65"/>
      <c r="G84" s="36" t="str">
        <f t="shared" si="21"/>
        <v>--</v>
      </c>
      <c r="H84" s="37"/>
      <c r="I84" s="35"/>
      <c r="J84" s="35"/>
      <c r="K84" s="35"/>
      <c r="L84" s="36" t="str">
        <f t="shared" si="22"/>
        <v>--</v>
      </c>
      <c r="M84" s="37"/>
      <c r="N84" s="35"/>
      <c r="O84" s="35"/>
      <c r="P84" s="35"/>
      <c r="Q84" s="36" t="str">
        <f t="shared" si="23"/>
        <v>--</v>
      </c>
      <c r="R84" s="38"/>
    </row>
    <row r="85" spans="1:18" ht="15" customHeight="1">
      <c r="A85" s="212"/>
      <c r="B85" s="33" t="s">
        <v>311</v>
      </c>
      <c r="C85" s="34"/>
      <c r="D85" s="35"/>
      <c r="E85" s="35"/>
      <c r="F85" s="35"/>
      <c r="G85" s="36" t="str">
        <f t="shared" si="21"/>
        <v>--</v>
      </c>
      <c r="H85" s="37"/>
      <c r="I85" s="35"/>
      <c r="J85" s="35"/>
      <c r="K85" s="35"/>
      <c r="L85" s="36" t="str">
        <f t="shared" si="22"/>
        <v>--</v>
      </c>
      <c r="M85" s="37"/>
      <c r="N85" s="35"/>
      <c r="O85" s="35"/>
      <c r="P85" s="35"/>
      <c r="Q85" s="36" t="str">
        <f t="shared" si="23"/>
        <v>--</v>
      </c>
      <c r="R85" s="38"/>
    </row>
    <row r="86" spans="1:18" ht="15" customHeight="1">
      <c r="A86" s="212"/>
      <c r="B86" s="33" t="s">
        <v>312</v>
      </c>
      <c r="C86" s="34"/>
      <c r="D86" s="35"/>
      <c r="E86" s="35"/>
      <c r="F86" s="35"/>
      <c r="G86" s="36" t="str">
        <f t="shared" si="21"/>
        <v>--</v>
      </c>
      <c r="H86" s="37"/>
      <c r="I86" s="35"/>
      <c r="J86" s="35"/>
      <c r="K86" s="35"/>
      <c r="L86" s="36" t="str">
        <f t="shared" si="22"/>
        <v>--</v>
      </c>
      <c r="M86" s="37"/>
      <c r="N86" s="35"/>
      <c r="O86" s="35"/>
      <c r="P86" s="35"/>
      <c r="Q86" s="36" t="str">
        <f t="shared" si="23"/>
        <v>--</v>
      </c>
      <c r="R86" s="38"/>
    </row>
    <row r="87" spans="1:18" ht="8.1" customHeight="1">
      <c r="A87" s="68"/>
      <c r="B87" s="40"/>
      <c r="C87" s="34"/>
      <c r="D87" s="41"/>
      <c r="E87" s="41"/>
      <c r="F87" s="41"/>
      <c r="G87" s="42"/>
      <c r="H87" s="41"/>
      <c r="I87" s="41"/>
      <c r="J87" s="41"/>
      <c r="K87" s="41"/>
      <c r="L87" s="42"/>
      <c r="M87" s="41"/>
      <c r="N87" s="41"/>
      <c r="O87" s="41"/>
      <c r="P87" s="41"/>
      <c r="Q87" s="42"/>
      <c r="R87" s="41"/>
    </row>
    <row r="88" spans="1:18" ht="15" customHeight="1">
      <c r="A88" s="213" t="s">
        <v>410</v>
      </c>
      <c r="B88" s="33" t="s">
        <v>310</v>
      </c>
      <c r="C88" s="34"/>
      <c r="D88" s="65" t="s">
        <v>408</v>
      </c>
      <c r="E88" s="65" t="s">
        <v>408</v>
      </c>
      <c r="F88" s="65" t="s">
        <v>408</v>
      </c>
      <c r="G88" s="36" t="str">
        <f t="shared" ref="G88:G99" si="24">IFERROR(AVERAGE(D88:F88),"--")</f>
        <v>--</v>
      </c>
      <c r="H88" s="37"/>
      <c r="I88" s="65" t="s">
        <v>408</v>
      </c>
      <c r="J88" s="65" t="s">
        <v>408</v>
      </c>
      <c r="K88" s="65" t="s">
        <v>408</v>
      </c>
      <c r="L88" s="36" t="str">
        <f t="shared" ref="L88:L99" si="25">IFERROR(AVERAGE(I88:K88),"--")</f>
        <v>--</v>
      </c>
      <c r="M88" s="37"/>
      <c r="N88" s="65" t="s">
        <v>408</v>
      </c>
      <c r="O88" s="65" t="s">
        <v>408</v>
      </c>
      <c r="P88" s="65" t="s">
        <v>408</v>
      </c>
      <c r="Q88" s="36" t="str">
        <f t="shared" ref="Q88:Q99" si="26">IFERROR(AVERAGE(N88:P88),"--")</f>
        <v>--</v>
      </c>
      <c r="R88" s="38"/>
    </row>
    <row r="89" spans="1:18" ht="15" customHeight="1">
      <c r="A89" s="213"/>
      <c r="B89" s="33" t="s">
        <v>311</v>
      </c>
      <c r="C89" s="34"/>
      <c r="D89" s="65" t="s">
        <v>408</v>
      </c>
      <c r="E89" s="65" t="s">
        <v>408</v>
      </c>
      <c r="F89" s="65" t="s">
        <v>408</v>
      </c>
      <c r="G89" s="36" t="str">
        <f t="shared" si="24"/>
        <v>--</v>
      </c>
      <c r="H89" s="37"/>
      <c r="I89" s="65" t="s">
        <v>408</v>
      </c>
      <c r="J89" s="65" t="s">
        <v>408</v>
      </c>
      <c r="K89" s="65" t="s">
        <v>408</v>
      </c>
      <c r="L89" s="36" t="str">
        <f t="shared" si="25"/>
        <v>--</v>
      </c>
      <c r="M89" s="37"/>
      <c r="N89" s="65" t="s">
        <v>408</v>
      </c>
      <c r="O89" s="65" t="s">
        <v>408</v>
      </c>
      <c r="P89" s="65" t="s">
        <v>408</v>
      </c>
      <c r="Q89" s="36" t="str">
        <f t="shared" si="26"/>
        <v>--</v>
      </c>
      <c r="R89" s="38"/>
    </row>
    <row r="90" spans="1:18" ht="15" customHeight="1">
      <c r="A90" s="213"/>
      <c r="B90" s="33" t="s">
        <v>312</v>
      </c>
      <c r="C90" s="34"/>
      <c r="D90" s="65" t="s">
        <v>408</v>
      </c>
      <c r="E90" s="65" t="s">
        <v>408</v>
      </c>
      <c r="F90" s="65" t="s">
        <v>408</v>
      </c>
      <c r="G90" s="36" t="str">
        <f t="shared" si="24"/>
        <v>--</v>
      </c>
      <c r="H90" s="37"/>
      <c r="I90" s="65" t="s">
        <v>408</v>
      </c>
      <c r="J90" s="65" t="s">
        <v>408</v>
      </c>
      <c r="K90" s="65" t="s">
        <v>408</v>
      </c>
      <c r="L90" s="36" t="str">
        <f t="shared" si="25"/>
        <v>--</v>
      </c>
      <c r="M90" s="37"/>
      <c r="N90" s="65" t="s">
        <v>408</v>
      </c>
      <c r="O90" s="65" t="s">
        <v>408</v>
      </c>
      <c r="P90" s="65" t="s">
        <v>408</v>
      </c>
      <c r="Q90" s="36" t="str">
        <f t="shared" si="26"/>
        <v>--</v>
      </c>
      <c r="R90" s="38"/>
    </row>
    <row r="91" spans="1:18" ht="15" customHeight="1">
      <c r="A91" s="214" t="s">
        <v>320</v>
      </c>
      <c r="B91" s="33" t="s">
        <v>310</v>
      </c>
      <c r="C91" s="34"/>
      <c r="D91" s="65" t="s">
        <v>408</v>
      </c>
      <c r="E91" s="65" t="s">
        <v>408</v>
      </c>
      <c r="F91" s="65" t="s">
        <v>408</v>
      </c>
      <c r="G91" s="36" t="str">
        <f t="shared" si="24"/>
        <v>--</v>
      </c>
      <c r="H91" s="37"/>
      <c r="I91" s="65" t="s">
        <v>408</v>
      </c>
      <c r="J91" s="65" t="s">
        <v>408</v>
      </c>
      <c r="K91" s="65" t="s">
        <v>408</v>
      </c>
      <c r="L91" s="36" t="str">
        <f t="shared" si="25"/>
        <v>--</v>
      </c>
      <c r="M91" s="37"/>
      <c r="N91" s="65" t="s">
        <v>408</v>
      </c>
      <c r="O91" s="65" t="s">
        <v>408</v>
      </c>
      <c r="P91" s="65" t="s">
        <v>408</v>
      </c>
      <c r="Q91" s="36" t="str">
        <f t="shared" si="26"/>
        <v>--</v>
      </c>
      <c r="R91" s="38"/>
    </row>
    <row r="92" spans="1:18" ht="15" customHeight="1">
      <c r="A92" s="214"/>
      <c r="B92" s="33" t="s">
        <v>311</v>
      </c>
      <c r="C92" s="34"/>
      <c r="D92" s="65" t="s">
        <v>408</v>
      </c>
      <c r="E92" s="65" t="s">
        <v>408</v>
      </c>
      <c r="F92" s="65" t="s">
        <v>408</v>
      </c>
      <c r="G92" s="36" t="str">
        <f t="shared" si="24"/>
        <v>--</v>
      </c>
      <c r="H92" s="37"/>
      <c r="I92" s="65" t="s">
        <v>408</v>
      </c>
      <c r="J92" s="65" t="s">
        <v>408</v>
      </c>
      <c r="K92" s="65" t="s">
        <v>408</v>
      </c>
      <c r="L92" s="36" t="str">
        <f t="shared" si="25"/>
        <v>--</v>
      </c>
      <c r="M92" s="37"/>
      <c r="N92" s="65" t="s">
        <v>408</v>
      </c>
      <c r="O92" s="65" t="s">
        <v>408</v>
      </c>
      <c r="P92" s="65" t="s">
        <v>408</v>
      </c>
      <c r="Q92" s="36" t="str">
        <f t="shared" si="26"/>
        <v>--</v>
      </c>
      <c r="R92" s="38"/>
    </row>
    <row r="93" spans="1:18" ht="15" customHeight="1">
      <c r="A93" s="214"/>
      <c r="B93" s="33" t="s">
        <v>312</v>
      </c>
      <c r="C93" s="34"/>
      <c r="D93" s="65" t="s">
        <v>408</v>
      </c>
      <c r="E93" s="65" t="s">
        <v>408</v>
      </c>
      <c r="F93" s="65" t="s">
        <v>408</v>
      </c>
      <c r="G93" s="36" t="str">
        <f t="shared" si="24"/>
        <v>--</v>
      </c>
      <c r="H93" s="37"/>
      <c r="I93" s="65" t="s">
        <v>408</v>
      </c>
      <c r="J93" s="65" t="s">
        <v>408</v>
      </c>
      <c r="K93" s="65" t="s">
        <v>408</v>
      </c>
      <c r="L93" s="36" t="str">
        <f t="shared" si="25"/>
        <v>--</v>
      </c>
      <c r="M93" s="37"/>
      <c r="N93" s="65" t="s">
        <v>408</v>
      </c>
      <c r="O93" s="65" t="s">
        <v>408</v>
      </c>
      <c r="P93" s="65" t="s">
        <v>408</v>
      </c>
      <c r="Q93" s="36" t="str">
        <f t="shared" si="26"/>
        <v>--</v>
      </c>
      <c r="R93" s="38"/>
    </row>
    <row r="94" spans="1:18" ht="15" customHeight="1">
      <c r="A94" s="212" t="s">
        <v>321</v>
      </c>
      <c r="B94" s="33" t="s">
        <v>310</v>
      </c>
      <c r="C94" s="34"/>
      <c r="D94" s="65"/>
      <c r="E94" s="65"/>
      <c r="F94" s="65"/>
      <c r="G94" s="36"/>
      <c r="H94" s="37"/>
      <c r="I94" s="65"/>
      <c r="J94" s="65"/>
      <c r="K94" s="65"/>
      <c r="L94" s="36"/>
      <c r="M94" s="37"/>
      <c r="N94" s="65"/>
      <c r="O94" s="65"/>
      <c r="P94" s="65"/>
      <c r="Q94" s="36"/>
      <c r="R94" s="38"/>
    </row>
    <row r="95" spans="1:18" ht="15" customHeight="1">
      <c r="A95" s="212"/>
      <c r="B95" s="33" t="s">
        <v>311</v>
      </c>
      <c r="C95" s="34"/>
      <c r="D95" s="65"/>
      <c r="E95" s="65"/>
      <c r="F95" s="65"/>
      <c r="G95" s="36"/>
      <c r="H95" s="37"/>
      <c r="I95" s="65"/>
      <c r="J95" s="65"/>
      <c r="K95" s="65"/>
      <c r="L95" s="36"/>
      <c r="M95" s="37"/>
      <c r="N95" s="65"/>
      <c r="O95" s="65"/>
      <c r="P95" s="65"/>
      <c r="Q95" s="36"/>
      <c r="R95" s="38"/>
    </row>
    <row r="96" spans="1:18" ht="15" customHeight="1">
      <c r="A96" s="212"/>
      <c r="B96" s="33" t="s">
        <v>312</v>
      </c>
      <c r="C96" s="34"/>
      <c r="D96" s="65"/>
      <c r="E96" s="65"/>
      <c r="F96" s="65"/>
      <c r="G96" s="36"/>
      <c r="H96" s="37"/>
      <c r="I96" s="65"/>
      <c r="J96" s="65"/>
      <c r="K96" s="65"/>
      <c r="L96" s="36"/>
      <c r="M96" s="37"/>
      <c r="N96" s="65"/>
      <c r="O96" s="65"/>
      <c r="P96" s="65"/>
      <c r="Q96" s="36"/>
      <c r="R96" s="38"/>
    </row>
    <row r="97" spans="1:18" ht="15" customHeight="1">
      <c r="A97" s="212" t="s">
        <v>322</v>
      </c>
      <c r="B97" s="33" t="s">
        <v>310</v>
      </c>
      <c r="C97" s="34"/>
      <c r="D97" s="35"/>
      <c r="E97" s="35"/>
      <c r="F97" s="35"/>
      <c r="G97" s="36" t="str">
        <f t="shared" si="24"/>
        <v>--</v>
      </c>
      <c r="H97" s="37"/>
      <c r="I97" s="35"/>
      <c r="J97" s="35"/>
      <c r="K97" s="35"/>
      <c r="L97" s="36" t="str">
        <f t="shared" si="25"/>
        <v>--</v>
      </c>
      <c r="M97" s="37"/>
      <c r="N97" s="65"/>
      <c r="O97" s="65"/>
      <c r="P97" s="65"/>
      <c r="Q97" s="36" t="str">
        <f t="shared" si="26"/>
        <v>--</v>
      </c>
      <c r="R97" s="38"/>
    </row>
    <row r="98" spans="1:18" ht="15" customHeight="1">
      <c r="A98" s="212"/>
      <c r="B98" s="33" t="s">
        <v>311</v>
      </c>
      <c r="C98" s="34"/>
      <c r="D98" s="35"/>
      <c r="E98" s="35"/>
      <c r="F98" s="35"/>
      <c r="G98" s="36" t="str">
        <f t="shared" si="24"/>
        <v>--</v>
      </c>
      <c r="H98" s="37"/>
      <c r="I98" s="35"/>
      <c r="J98" s="35"/>
      <c r="K98" s="35"/>
      <c r="L98" s="36" t="str">
        <f t="shared" si="25"/>
        <v>--</v>
      </c>
      <c r="M98" s="37"/>
      <c r="N98" s="35"/>
      <c r="O98" s="35"/>
      <c r="P98" s="35"/>
      <c r="Q98" s="36" t="str">
        <f t="shared" si="26"/>
        <v>--</v>
      </c>
      <c r="R98" s="38"/>
    </row>
    <row r="99" spans="1:18" ht="15" customHeight="1">
      <c r="A99" s="212"/>
      <c r="B99" s="33" t="s">
        <v>312</v>
      </c>
      <c r="C99" s="34"/>
      <c r="D99" s="35"/>
      <c r="E99" s="35"/>
      <c r="F99" s="35"/>
      <c r="G99" s="36" t="str">
        <f t="shared" si="24"/>
        <v>--</v>
      </c>
      <c r="H99" s="37"/>
      <c r="I99" s="35"/>
      <c r="J99" s="35"/>
      <c r="K99" s="35"/>
      <c r="L99" s="36" t="str">
        <f t="shared" si="25"/>
        <v>--</v>
      </c>
      <c r="M99" s="37"/>
      <c r="N99" s="35"/>
      <c r="O99" s="35"/>
      <c r="P99" s="35"/>
      <c r="Q99" s="36" t="str">
        <f t="shared" si="26"/>
        <v>--</v>
      </c>
      <c r="R99" s="38"/>
    </row>
    <row r="100" spans="1:18" ht="8.1" customHeight="1">
      <c r="A100" s="68"/>
      <c r="B100" s="40"/>
      <c r="C100" s="34"/>
      <c r="D100" s="41"/>
      <c r="E100" s="41"/>
      <c r="F100" s="41"/>
      <c r="G100" s="42"/>
      <c r="H100" s="41"/>
      <c r="I100" s="41"/>
      <c r="J100" s="41"/>
      <c r="K100" s="41"/>
      <c r="L100" s="42"/>
      <c r="M100" s="41"/>
      <c r="N100" s="41"/>
      <c r="O100" s="41"/>
      <c r="P100" s="41"/>
      <c r="Q100" s="42"/>
      <c r="R100" s="41"/>
    </row>
    <row r="101" spans="1:18" ht="15" customHeight="1">
      <c r="A101" s="213" t="s">
        <v>429</v>
      </c>
      <c r="B101" s="33" t="s">
        <v>310</v>
      </c>
      <c r="C101" s="34"/>
      <c r="D101" s="65">
        <v>95.75</v>
      </c>
      <c r="E101" s="65">
        <v>96.52</v>
      </c>
      <c r="F101" s="65">
        <v>94.88</v>
      </c>
      <c r="G101" s="36">
        <f t="shared" ref="G101:G112" si="27">IFERROR(AVERAGE(D101:F101),"--")</f>
        <v>95.716666666666654</v>
      </c>
      <c r="H101" s="37"/>
      <c r="I101" s="65">
        <v>105.31</v>
      </c>
      <c r="J101" s="65">
        <v>106.39</v>
      </c>
      <c r="K101" s="65">
        <v>110.19</v>
      </c>
      <c r="L101" s="36">
        <f t="shared" ref="L101:L112" si="28">IFERROR(AVERAGE(I101:K101),"--")</f>
        <v>107.29666666666667</v>
      </c>
      <c r="M101" s="37"/>
      <c r="N101" s="65">
        <v>125.24</v>
      </c>
      <c r="O101" s="65">
        <v>122.53</v>
      </c>
      <c r="P101" s="65">
        <v>122.62</v>
      </c>
      <c r="Q101" s="36">
        <f t="shared" ref="Q101:Q112" si="29">IFERROR(AVERAGE(N101:P101),"--")</f>
        <v>123.46333333333332</v>
      </c>
      <c r="R101" s="38"/>
    </row>
    <row r="102" spans="1:18" ht="15" customHeight="1">
      <c r="A102" s="213"/>
      <c r="B102" s="33" t="s">
        <v>311</v>
      </c>
      <c r="C102" s="34"/>
      <c r="D102" s="65">
        <v>72.13</v>
      </c>
      <c r="E102" s="65">
        <v>73.34</v>
      </c>
      <c r="F102" s="65">
        <v>70.930000000000007</v>
      </c>
      <c r="G102" s="36">
        <f t="shared" si="27"/>
        <v>72.13333333333334</v>
      </c>
      <c r="H102" s="37"/>
      <c r="I102" s="65">
        <v>79.13</v>
      </c>
      <c r="J102" s="65">
        <v>81.75</v>
      </c>
      <c r="K102" s="65">
        <v>83.01</v>
      </c>
      <c r="L102" s="36">
        <f t="shared" si="28"/>
        <v>81.296666666666667</v>
      </c>
      <c r="M102" s="37"/>
      <c r="N102" s="65">
        <v>99</v>
      </c>
      <c r="O102" s="65">
        <v>93.42</v>
      </c>
      <c r="P102" s="65">
        <v>94.35</v>
      </c>
      <c r="Q102" s="36">
        <f t="shared" si="29"/>
        <v>95.589999999999989</v>
      </c>
      <c r="R102" s="38"/>
    </row>
    <row r="103" spans="1:18" ht="15" customHeight="1">
      <c r="A103" s="213"/>
      <c r="B103" s="33" t="s">
        <v>312</v>
      </c>
      <c r="C103" s="34"/>
      <c r="D103" s="65">
        <v>128.91999999999999</v>
      </c>
      <c r="E103" s="65">
        <v>130.44999999999999</v>
      </c>
      <c r="F103" s="65">
        <v>129.46</v>
      </c>
      <c r="G103" s="36">
        <f t="shared" si="27"/>
        <v>129.61000000000001</v>
      </c>
      <c r="H103" s="37"/>
      <c r="I103" s="65">
        <v>142.57</v>
      </c>
      <c r="J103" s="65">
        <v>142.08000000000001</v>
      </c>
      <c r="K103" s="65">
        <v>147.80000000000001</v>
      </c>
      <c r="L103" s="36">
        <f t="shared" si="28"/>
        <v>144.15</v>
      </c>
      <c r="M103" s="37"/>
      <c r="N103" s="65">
        <v>161.56</v>
      </c>
      <c r="O103" s="65">
        <v>160.29</v>
      </c>
      <c r="P103" s="65">
        <v>158.77000000000001</v>
      </c>
      <c r="Q103" s="36">
        <f t="shared" si="29"/>
        <v>160.20666666666668</v>
      </c>
      <c r="R103" s="38"/>
    </row>
    <row r="104" spans="1:18" ht="78.75" customHeight="1">
      <c r="A104" s="214" t="s">
        <v>323</v>
      </c>
      <c r="B104" s="33" t="s">
        <v>310</v>
      </c>
      <c r="C104" s="34"/>
      <c r="D104" s="65">
        <v>63.58</v>
      </c>
      <c r="E104" s="65">
        <v>63.67</v>
      </c>
      <c r="F104" s="65">
        <v>63</v>
      </c>
      <c r="G104" s="36">
        <f t="shared" si="27"/>
        <v>63.416666666666664</v>
      </c>
      <c r="H104" s="37"/>
      <c r="I104" s="65">
        <v>87.24</v>
      </c>
      <c r="J104" s="65">
        <v>86.72</v>
      </c>
      <c r="K104" s="65">
        <v>86.3</v>
      </c>
      <c r="L104" s="36">
        <f t="shared" si="28"/>
        <v>86.75333333333333</v>
      </c>
      <c r="M104" s="37"/>
      <c r="N104" s="65">
        <v>92.73</v>
      </c>
      <c r="O104" s="65">
        <v>91.97</v>
      </c>
      <c r="P104" s="65">
        <v>93.46</v>
      </c>
      <c r="Q104" s="36">
        <f t="shared" si="29"/>
        <v>92.719999999999985</v>
      </c>
      <c r="R104" s="38"/>
    </row>
    <row r="105" spans="1:18" ht="15" customHeight="1">
      <c r="A105" s="214"/>
      <c r="B105" s="33" t="s">
        <v>311</v>
      </c>
      <c r="C105" s="34"/>
      <c r="D105" s="150">
        <v>50</v>
      </c>
      <c r="E105" s="65">
        <v>49.91</v>
      </c>
      <c r="F105" s="65">
        <v>48.64</v>
      </c>
      <c r="G105" s="36">
        <f t="shared" si="27"/>
        <v>49.516666666666673</v>
      </c>
      <c r="H105" s="37"/>
      <c r="I105" s="65">
        <v>68.92</v>
      </c>
      <c r="J105" s="65">
        <v>68.56</v>
      </c>
      <c r="K105" s="65">
        <v>67.34</v>
      </c>
      <c r="L105" s="36">
        <f t="shared" si="28"/>
        <v>68.273333333333341</v>
      </c>
      <c r="M105" s="37"/>
      <c r="N105" s="65">
        <v>72.05</v>
      </c>
      <c r="O105" s="65">
        <v>71.5</v>
      </c>
      <c r="P105" s="65">
        <v>73.209999999999994</v>
      </c>
      <c r="Q105" s="36">
        <f t="shared" si="29"/>
        <v>72.25333333333333</v>
      </c>
      <c r="R105" s="38"/>
    </row>
    <row r="106" spans="1:18" ht="15" customHeight="1">
      <c r="A106" s="214"/>
      <c r="B106" s="33" t="s">
        <v>312</v>
      </c>
      <c r="C106" s="34"/>
      <c r="D106" s="65">
        <v>84.52</v>
      </c>
      <c r="E106" s="150">
        <v>85.8</v>
      </c>
      <c r="F106" s="65">
        <v>85.32</v>
      </c>
      <c r="G106" s="36">
        <f t="shared" si="27"/>
        <v>85.213333333333324</v>
      </c>
      <c r="H106" s="37"/>
      <c r="I106" s="65">
        <v>115.86</v>
      </c>
      <c r="J106" s="65">
        <v>116.24</v>
      </c>
      <c r="K106" s="65">
        <v>116.37</v>
      </c>
      <c r="L106" s="36">
        <f t="shared" si="28"/>
        <v>116.15666666666668</v>
      </c>
      <c r="M106" s="37"/>
      <c r="N106" s="65">
        <v>125.4</v>
      </c>
      <c r="O106" s="65">
        <v>123.77</v>
      </c>
      <c r="P106" s="65">
        <v>127.26</v>
      </c>
      <c r="Q106" s="36">
        <f t="shared" si="29"/>
        <v>125.47666666666667</v>
      </c>
      <c r="R106" s="38"/>
    </row>
    <row r="107" spans="1:18" ht="15" customHeight="1">
      <c r="A107" s="212" t="s">
        <v>324</v>
      </c>
      <c r="B107" s="33" t="s">
        <v>310</v>
      </c>
      <c r="C107" s="34"/>
      <c r="D107" s="65"/>
      <c r="E107" s="65"/>
      <c r="F107" s="65"/>
      <c r="G107" s="36"/>
      <c r="H107" s="37"/>
      <c r="I107" s="65"/>
      <c r="J107" s="65"/>
      <c r="K107" s="65"/>
      <c r="L107" s="36"/>
      <c r="M107" s="37"/>
      <c r="N107" s="65"/>
      <c r="O107" s="65"/>
      <c r="P107" s="65"/>
      <c r="Q107" s="36"/>
      <c r="R107" s="38"/>
    </row>
    <row r="108" spans="1:18" ht="15" customHeight="1">
      <c r="A108" s="212"/>
      <c r="B108" s="33" t="s">
        <v>311</v>
      </c>
      <c r="C108" s="34"/>
      <c r="D108" s="65"/>
      <c r="E108" s="65"/>
      <c r="F108" s="65"/>
      <c r="G108" s="36"/>
      <c r="H108" s="37"/>
      <c r="I108" s="65"/>
      <c r="J108" s="65"/>
      <c r="K108" s="65"/>
      <c r="L108" s="36"/>
      <c r="M108" s="37"/>
      <c r="N108" s="65"/>
      <c r="O108" s="65"/>
      <c r="P108" s="65"/>
      <c r="Q108" s="36"/>
      <c r="R108" s="38"/>
    </row>
    <row r="109" spans="1:18" ht="15" customHeight="1">
      <c r="A109" s="212"/>
      <c r="B109" s="33" t="s">
        <v>312</v>
      </c>
      <c r="C109" s="34"/>
      <c r="D109" s="65"/>
      <c r="E109" s="65"/>
      <c r="F109" s="65"/>
      <c r="G109" s="36"/>
      <c r="H109" s="37"/>
      <c r="I109" s="65"/>
      <c r="J109" s="65"/>
      <c r="K109" s="65"/>
      <c r="L109" s="36"/>
      <c r="M109" s="37"/>
      <c r="N109" s="65"/>
      <c r="O109" s="65"/>
      <c r="P109" s="65"/>
      <c r="Q109" s="36"/>
      <c r="R109" s="38"/>
    </row>
    <row r="110" spans="1:18" ht="15" customHeight="1">
      <c r="A110" s="212" t="s">
        <v>325</v>
      </c>
      <c r="B110" s="33" t="s">
        <v>310</v>
      </c>
      <c r="C110" s="34"/>
      <c r="D110" s="35"/>
      <c r="E110" s="35"/>
      <c r="F110" s="35"/>
      <c r="G110" s="36" t="str">
        <f t="shared" si="27"/>
        <v>--</v>
      </c>
      <c r="H110" s="37"/>
      <c r="I110" s="65"/>
      <c r="J110" s="65"/>
      <c r="K110" s="65"/>
      <c r="L110" s="36" t="str">
        <f t="shared" si="28"/>
        <v>--</v>
      </c>
      <c r="M110" s="37"/>
      <c r="N110" s="35"/>
      <c r="O110" s="35"/>
      <c r="P110" s="35"/>
      <c r="Q110" s="36" t="str">
        <f t="shared" si="29"/>
        <v>--</v>
      </c>
      <c r="R110" s="38"/>
    </row>
    <row r="111" spans="1:18" ht="15" customHeight="1">
      <c r="A111" s="212"/>
      <c r="B111" s="33" t="s">
        <v>311</v>
      </c>
      <c r="C111" s="34"/>
      <c r="D111" s="35"/>
      <c r="E111" s="35"/>
      <c r="F111" s="35"/>
      <c r="G111" s="36" t="str">
        <f t="shared" si="27"/>
        <v>--</v>
      </c>
      <c r="H111" s="37"/>
      <c r="I111" s="35"/>
      <c r="J111" s="35"/>
      <c r="K111" s="35"/>
      <c r="L111" s="36" t="str">
        <f t="shared" si="28"/>
        <v>--</v>
      </c>
      <c r="M111" s="37"/>
      <c r="N111" s="35"/>
      <c r="O111" s="35"/>
      <c r="P111" s="35"/>
      <c r="Q111" s="36" t="str">
        <f t="shared" si="29"/>
        <v>--</v>
      </c>
      <c r="R111" s="38"/>
    </row>
    <row r="112" spans="1:18" ht="15" customHeight="1">
      <c r="A112" s="212"/>
      <c r="B112" s="33" t="s">
        <v>312</v>
      </c>
      <c r="C112" s="34"/>
      <c r="D112" s="35"/>
      <c r="E112" s="35"/>
      <c r="F112" s="35"/>
      <c r="G112" s="36" t="str">
        <f t="shared" si="27"/>
        <v>--</v>
      </c>
      <c r="H112" s="37"/>
      <c r="I112" s="35"/>
      <c r="J112" s="35"/>
      <c r="K112" s="35"/>
      <c r="L112" s="36" t="str">
        <f t="shared" si="28"/>
        <v>--</v>
      </c>
      <c r="M112" s="37"/>
      <c r="N112" s="35"/>
      <c r="O112" s="35"/>
      <c r="P112" s="35"/>
      <c r="Q112" s="36" t="str">
        <f t="shared" si="29"/>
        <v>--</v>
      </c>
      <c r="R112" s="38"/>
    </row>
    <row r="113" spans="1:18" ht="8.1" customHeight="1">
      <c r="A113" s="68"/>
      <c r="B113" s="40"/>
      <c r="C113" s="34"/>
      <c r="D113" s="41"/>
      <c r="E113" s="41"/>
      <c r="F113" s="41"/>
      <c r="G113" s="42"/>
      <c r="H113" s="41"/>
      <c r="I113" s="41"/>
      <c r="J113" s="41"/>
      <c r="K113" s="41"/>
      <c r="L113" s="42"/>
      <c r="M113" s="41"/>
      <c r="N113" s="41"/>
      <c r="O113" s="41"/>
      <c r="P113" s="41"/>
      <c r="Q113" s="42"/>
      <c r="R113" s="41"/>
    </row>
    <row r="114" spans="1:18" ht="15" customHeight="1">
      <c r="A114" s="213" t="s">
        <v>411</v>
      </c>
      <c r="B114" s="33" t="s">
        <v>310</v>
      </c>
      <c r="C114" s="34"/>
      <c r="D114" s="65" t="s">
        <v>408</v>
      </c>
      <c r="E114" s="65" t="s">
        <v>408</v>
      </c>
      <c r="F114" s="65" t="s">
        <v>408</v>
      </c>
      <c r="G114" s="36" t="str">
        <f t="shared" ref="G114:G119" si="30">IFERROR(AVERAGE(D114:F114),"--")</f>
        <v>--</v>
      </c>
      <c r="H114" s="37"/>
      <c r="I114" s="65" t="s">
        <v>408</v>
      </c>
      <c r="J114" s="65" t="s">
        <v>408</v>
      </c>
      <c r="K114" s="65" t="s">
        <v>408</v>
      </c>
      <c r="L114" s="36" t="str">
        <f t="shared" ref="L114:L119" si="31">IFERROR(AVERAGE(I114:K114),"--")</f>
        <v>--</v>
      </c>
      <c r="M114" s="37"/>
      <c r="N114" s="65" t="s">
        <v>408</v>
      </c>
      <c r="O114" s="65" t="s">
        <v>408</v>
      </c>
      <c r="P114" s="65" t="s">
        <v>408</v>
      </c>
      <c r="Q114" s="36" t="str">
        <f t="shared" ref="Q114:Q119" si="32">IFERROR(AVERAGE(N114:P114),"--")</f>
        <v>--</v>
      </c>
      <c r="R114" s="38"/>
    </row>
    <row r="115" spans="1:18" ht="15" customHeight="1">
      <c r="A115" s="213"/>
      <c r="B115" s="33" t="s">
        <v>311</v>
      </c>
      <c r="C115" s="34"/>
      <c r="D115" s="65" t="s">
        <v>408</v>
      </c>
      <c r="E115" s="65" t="s">
        <v>408</v>
      </c>
      <c r="F115" s="65" t="s">
        <v>408</v>
      </c>
      <c r="G115" s="36" t="str">
        <f t="shared" si="30"/>
        <v>--</v>
      </c>
      <c r="H115" s="37"/>
      <c r="I115" s="65" t="s">
        <v>408</v>
      </c>
      <c r="J115" s="65" t="s">
        <v>408</v>
      </c>
      <c r="K115" s="65" t="s">
        <v>408</v>
      </c>
      <c r="L115" s="36" t="str">
        <f t="shared" si="31"/>
        <v>--</v>
      </c>
      <c r="M115" s="37"/>
      <c r="N115" s="65" t="s">
        <v>408</v>
      </c>
      <c r="O115" s="65" t="s">
        <v>408</v>
      </c>
      <c r="P115" s="65" t="s">
        <v>408</v>
      </c>
      <c r="Q115" s="36" t="str">
        <f t="shared" si="32"/>
        <v>--</v>
      </c>
      <c r="R115" s="38"/>
    </row>
    <row r="116" spans="1:18" ht="15" customHeight="1">
      <c r="A116" s="213"/>
      <c r="B116" s="33" t="s">
        <v>312</v>
      </c>
      <c r="C116" s="34"/>
      <c r="D116" s="65" t="s">
        <v>408</v>
      </c>
      <c r="E116" s="65" t="s">
        <v>408</v>
      </c>
      <c r="F116" s="65" t="s">
        <v>408</v>
      </c>
      <c r="G116" s="36" t="str">
        <f t="shared" si="30"/>
        <v>--</v>
      </c>
      <c r="H116" s="37"/>
      <c r="I116" s="65" t="s">
        <v>408</v>
      </c>
      <c r="J116" s="65" t="s">
        <v>408</v>
      </c>
      <c r="K116" s="65" t="s">
        <v>408</v>
      </c>
      <c r="L116" s="36" t="str">
        <f t="shared" si="31"/>
        <v>--</v>
      </c>
      <c r="M116" s="37"/>
      <c r="N116" s="65" t="s">
        <v>408</v>
      </c>
      <c r="O116" s="65" t="s">
        <v>408</v>
      </c>
      <c r="P116" s="65" t="s">
        <v>408</v>
      </c>
      <c r="Q116" s="36" t="str">
        <f t="shared" si="32"/>
        <v>--</v>
      </c>
      <c r="R116" s="38"/>
    </row>
    <row r="117" spans="1:18" ht="15" customHeight="1">
      <c r="A117" s="214" t="s">
        <v>326</v>
      </c>
      <c r="B117" s="33" t="s">
        <v>310</v>
      </c>
      <c r="C117" s="34"/>
      <c r="D117" s="65" t="s">
        <v>408</v>
      </c>
      <c r="E117" s="65" t="s">
        <v>408</v>
      </c>
      <c r="F117" s="65" t="s">
        <v>408</v>
      </c>
      <c r="G117" s="36" t="str">
        <f t="shared" si="30"/>
        <v>--</v>
      </c>
      <c r="H117" s="37"/>
      <c r="I117" s="65" t="s">
        <v>408</v>
      </c>
      <c r="J117" s="65" t="s">
        <v>408</v>
      </c>
      <c r="K117" s="65" t="s">
        <v>408</v>
      </c>
      <c r="L117" s="36" t="str">
        <f t="shared" si="31"/>
        <v>--</v>
      </c>
      <c r="M117" s="37"/>
      <c r="N117" s="65" t="s">
        <v>408</v>
      </c>
      <c r="O117" s="65" t="s">
        <v>408</v>
      </c>
      <c r="P117" s="65" t="s">
        <v>408</v>
      </c>
      <c r="Q117" s="36" t="str">
        <f t="shared" si="32"/>
        <v>--</v>
      </c>
      <c r="R117" s="38"/>
    </row>
    <row r="118" spans="1:18" ht="15" customHeight="1">
      <c r="A118" s="214"/>
      <c r="B118" s="33" t="s">
        <v>311</v>
      </c>
      <c r="C118" s="34"/>
      <c r="D118" s="65" t="s">
        <v>408</v>
      </c>
      <c r="E118" s="65" t="s">
        <v>408</v>
      </c>
      <c r="F118" s="65" t="s">
        <v>408</v>
      </c>
      <c r="G118" s="36" t="str">
        <f t="shared" si="30"/>
        <v>--</v>
      </c>
      <c r="H118" s="37"/>
      <c r="I118" s="65" t="s">
        <v>408</v>
      </c>
      <c r="J118" s="65" t="s">
        <v>408</v>
      </c>
      <c r="K118" s="65" t="s">
        <v>408</v>
      </c>
      <c r="L118" s="36" t="str">
        <f t="shared" si="31"/>
        <v>--</v>
      </c>
      <c r="M118" s="37"/>
      <c r="N118" s="65" t="s">
        <v>408</v>
      </c>
      <c r="O118" s="65" t="s">
        <v>408</v>
      </c>
      <c r="P118" s="65" t="s">
        <v>408</v>
      </c>
      <c r="Q118" s="36" t="str">
        <f t="shared" si="32"/>
        <v>--</v>
      </c>
      <c r="R118" s="38"/>
    </row>
    <row r="119" spans="1:18" ht="15" customHeight="1">
      <c r="A119" s="214"/>
      <c r="B119" s="33" t="s">
        <v>312</v>
      </c>
      <c r="C119" s="34"/>
      <c r="D119" s="65" t="s">
        <v>408</v>
      </c>
      <c r="E119" s="65" t="s">
        <v>408</v>
      </c>
      <c r="F119" s="65" t="s">
        <v>408</v>
      </c>
      <c r="G119" s="36" t="str">
        <f t="shared" si="30"/>
        <v>--</v>
      </c>
      <c r="H119" s="37"/>
      <c r="I119" s="65" t="s">
        <v>408</v>
      </c>
      <c r="J119" s="65" t="s">
        <v>408</v>
      </c>
      <c r="K119" s="65" t="s">
        <v>408</v>
      </c>
      <c r="L119" s="36" t="str">
        <f t="shared" si="31"/>
        <v>--</v>
      </c>
      <c r="M119" s="37"/>
      <c r="N119" s="65" t="s">
        <v>408</v>
      </c>
      <c r="O119" s="65" t="s">
        <v>408</v>
      </c>
      <c r="P119" s="65" t="s">
        <v>408</v>
      </c>
      <c r="Q119" s="36" t="str">
        <f t="shared" si="32"/>
        <v>--</v>
      </c>
      <c r="R119" s="38"/>
    </row>
    <row r="120" spans="1:18" ht="15" customHeight="1">
      <c r="A120" s="212" t="s">
        <v>327</v>
      </c>
      <c r="B120" s="33" t="s">
        <v>310</v>
      </c>
      <c r="C120" s="34"/>
      <c r="D120" s="65"/>
      <c r="E120" s="65"/>
      <c r="F120" s="65"/>
      <c r="G120" s="36"/>
      <c r="H120" s="37"/>
      <c r="I120" s="65"/>
      <c r="J120" s="65"/>
      <c r="K120" s="65"/>
      <c r="L120" s="36"/>
      <c r="M120" s="37"/>
      <c r="N120" s="65"/>
      <c r="O120" s="65"/>
      <c r="P120" s="65"/>
      <c r="Q120" s="36"/>
      <c r="R120" s="38"/>
    </row>
    <row r="121" spans="1:18" ht="15" customHeight="1">
      <c r="A121" s="212"/>
      <c r="B121" s="33" t="s">
        <v>311</v>
      </c>
      <c r="C121" s="34"/>
      <c r="D121" s="65"/>
      <c r="E121" s="65"/>
      <c r="F121" s="65"/>
      <c r="G121" s="36"/>
      <c r="H121" s="37"/>
      <c r="I121" s="65"/>
      <c r="J121" s="65"/>
      <c r="K121" s="65"/>
      <c r="L121" s="36"/>
      <c r="M121" s="37"/>
      <c r="N121" s="65"/>
      <c r="O121" s="65"/>
      <c r="P121" s="65"/>
      <c r="Q121" s="36"/>
      <c r="R121" s="38"/>
    </row>
    <row r="122" spans="1:18" ht="15" customHeight="1">
      <c r="A122" s="212"/>
      <c r="B122" s="33" t="s">
        <v>312</v>
      </c>
      <c r="C122" s="34"/>
      <c r="D122" s="65"/>
      <c r="E122" s="65"/>
      <c r="F122" s="65"/>
      <c r="G122" s="36"/>
      <c r="H122" s="37"/>
      <c r="I122" s="65"/>
      <c r="J122" s="65"/>
      <c r="K122" s="65"/>
      <c r="L122" s="36"/>
      <c r="M122" s="37"/>
      <c r="N122" s="65"/>
      <c r="O122" s="65"/>
      <c r="P122" s="65"/>
      <c r="Q122" s="36"/>
      <c r="R122" s="38"/>
    </row>
    <row r="123" spans="1:18" ht="15" customHeight="1">
      <c r="A123" s="212" t="s">
        <v>328</v>
      </c>
      <c r="B123" s="33" t="s">
        <v>310</v>
      </c>
      <c r="C123" s="34"/>
      <c r="D123" s="35"/>
      <c r="E123" s="35"/>
      <c r="F123" s="35"/>
      <c r="G123" s="36" t="str">
        <f t="shared" ref="G123:G125" si="33">IFERROR(AVERAGE(D123:F123),"--")</f>
        <v>--</v>
      </c>
      <c r="H123" s="37"/>
      <c r="I123" s="65"/>
      <c r="J123" s="65"/>
      <c r="K123" s="65"/>
      <c r="L123" s="36" t="str">
        <f t="shared" ref="L123:L125" si="34">IFERROR(AVERAGE(I123:K123),"--")</f>
        <v>--</v>
      </c>
      <c r="M123" s="37"/>
      <c r="N123" s="35"/>
      <c r="O123" s="35"/>
      <c r="P123" s="35"/>
      <c r="Q123" s="36" t="str">
        <f t="shared" ref="Q123:Q125" si="35">IFERROR(AVERAGE(N123:P123),"--")</f>
        <v>--</v>
      </c>
      <c r="R123" s="38"/>
    </row>
    <row r="124" spans="1:18" ht="15" customHeight="1">
      <c r="A124" s="212"/>
      <c r="B124" s="33" t="s">
        <v>311</v>
      </c>
      <c r="C124" s="34"/>
      <c r="D124" s="35"/>
      <c r="E124" s="35"/>
      <c r="F124" s="35"/>
      <c r="G124" s="36" t="str">
        <f t="shared" si="33"/>
        <v>--</v>
      </c>
      <c r="H124" s="37"/>
      <c r="I124" s="35"/>
      <c r="J124" s="35"/>
      <c r="K124" s="35"/>
      <c r="L124" s="36" t="str">
        <f t="shared" si="34"/>
        <v>--</v>
      </c>
      <c r="M124" s="37"/>
      <c r="N124" s="35"/>
      <c r="O124" s="35"/>
      <c r="P124" s="35"/>
      <c r="Q124" s="36" t="str">
        <f t="shared" si="35"/>
        <v>--</v>
      </c>
      <c r="R124" s="38"/>
    </row>
    <row r="125" spans="1:18" ht="15" customHeight="1">
      <c r="A125" s="212"/>
      <c r="B125" s="33" t="s">
        <v>312</v>
      </c>
      <c r="C125" s="34"/>
      <c r="D125" s="35"/>
      <c r="E125" s="35"/>
      <c r="F125" s="35"/>
      <c r="G125" s="36" t="str">
        <f t="shared" si="33"/>
        <v>--</v>
      </c>
      <c r="H125" s="37"/>
      <c r="I125" s="35"/>
      <c r="J125" s="35"/>
      <c r="K125" s="35"/>
      <c r="L125" s="36" t="str">
        <f t="shared" si="34"/>
        <v>--</v>
      </c>
      <c r="M125" s="37"/>
      <c r="N125" s="35"/>
      <c r="O125" s="35"/>
      <c r="P125" s="35"/>
      <c r="Q125" s="36" t="str">
        <f t="shared" si="35"/>
        <v>--</v>
      </c>
      <c r="R125" s="38"/>
    </row>
    <row r="126" spans="1:18" ht="8.1" customHeight="1">
      <c r="A126" s="68"/>
      <c r="B126" s="40"/>
      <c r="C126" s="34"/>
      <c r="D126" s="41"/>
      <c r="E126" s="41"/>
      <c r="F126" s="41"/>
      <c r="G126" s="42"/>
      <c r="H126" s="41"/>
      <c r="I126" s="41"/>
      <c r="J126" s="41"/>
      <c r="K126" s="41"/>
      <c r="L126" s="42"/>
      <c r="M126" s="41"/>
      <c r="N126" s="41"/>
      <c r="O126" s="41"/>
      <c r="P126" s="41"/>
      <c r="Q126" s="42"/>
      <c r="R126" s="41"/>
    </row>
    <row r="127" spans="1:18" ht="15" customHeight="1">
      <c r="A127" s="67" t="s">
        <v>329</v>
      </c>
      <c r="B127" s="33" t="s">
        <v>310</v>
      </c>
      <c r="C127" s="34"/>
      <c r="D127" s="65">
        <v>183.7</v>
      </c>
      <c r="E127" s="65">
        <v>183</v>
      </c>
      <c r="F127" s="65">
        <v>172.2</v>
      </c>
      <c r="G127" s="36">
        <f t="shared" ref="G127:G128" si="36">IFERROR(AVERAGE(D127:F127),"--")</f>
        <v>179.63333333333333</v>
      </c>
      <c r="H127" s="37"/>
      <c r="I127" s="65">
        <v>181.3</v>
      </c>
      <c r="J127" s="65">
        <v>189.6</v>
      </c>
      <c r="K127" s="65">
        <v>180.2</v>
      </c>
      <c r="L127" s="36">
        <f t="shared" ref="L127:L128" si="37">IFERROR(AVERAGE(I127:K127),"--")</f>
        <v>183.69999999999996</v>
      </c>
      <c r="M127" s="37"/>
      <c r="N127" s="65">
        <v>194.1</v>
      </c>
      <c r="O127" s="65">
        <v>194.6</v>
      </c>
      <c r="P127" s="65">
        <v>194.8</v>
      </c>
      <c r="Q127" s="36">
        <f t="shared" ref="Q127:Q128" si="38">IFERROR(AVERAGE(N127:P127),"--")</f>
        <v>194.5</v>
      </c>
      <c r="R127" s="38"/>
    </row>
    <row r="128" spans="1:18" ht="15" customHeight="1">
      <c r="A128" s="71" t="s">
        <v>330</v>
      </c>
      <c r="B128" s="33" t="s">
        <v>310</v>
      </c>
      <c r="C128" s="34"/>
      <c r="D128" s="65">
        <v>112.4</v>
      </c>
      <c r="E128" s="65">
        <v>115.3</v>
      </c>
      <c r="F128" s="65">
        <v>111.6</v>
      </c>
      <c r="G128" s="36">
        <f t="shared" si="36"/>
        <v>113.09999999999998</v>
      </c>
      <c r="H128" s="37"/>
      <c r="I128" s="65">
        <v>116</v>
      </c>
      <c r="J128" s="65">
        <v>125.1</v>
      </c>
      <c r="K128" s="65">
        <v>115.3</v>
      </c>
      <c r="L128" s="36">
        <f t="shared" si="37"/>
        <v>118.8</v>
      </c>
      <c r="M128" s="37"/>
      <c r="N128" s="65">
        <v>141.9</v>
      </c>
      <c r="O128" s="65">
        <v>128</v>
      </c>
      <c r="P128" s="65">
        <v>128.5</v>
      </c>
      <c r="Q128" s="36">
        <f t="shared" si="38"/>
        <v>132.79999999999998</v>
      </c>
      <c r="R128" s="38"/>
    </row>
    <row r="129" spans="1:18" ht="15" customHeight="1">
      <c r="A129" s="69" t="s">
        <v>331</v>
      </c>
      <c r="B129" s="33" t="s">
        <v>310</v>
      </c>
      <c r="C129" s="34"/>
      <c r="D129" s="65"/>
      <c r="E129" s="65"/>
      <c r="F129" s="65"/>
      <c r="G129" s="36"/>
      <c r="H129" s="37"/>
      <c r="I129" s="65"/>
      <c r="J129" s="65"/>
      <c r="K129" s="65"/>
      <c r="L129" s="36"/>
      <c r="M129" s="37"/>
      <c r="N129" s="65"/>
      <c r="O129" s="65"/>
      <c r="P129" s="65"/>
      <c r="Q129" s="36"/>
      <c r="R129" s="38"/>
    </row>
    <row r="130" spans="1:18" ht="15" customHeight="1">
      <c r="A130" s="69" t="s">
        <v>332</v>
      </c>
      <c r="B130" s="33" t="s">
        <v>310</v>
      </c>
      <c r="C130" s="34"/>
      <c r="D130" s="35"/>
      <c r="E130" s="35"/>
      <c r="F130" s="35"/>
      <c r="G130" s="36" t="str">
        <f t="shared" ref="G130" si="39">IFERROR(AVERAGE(D130:F130),"--")</f>
        <v>--</v>
      </c>
      <c r="H130" s="37"/>
      <c r="I130" s="65"/>
      <c r="J130" s="65"/>
      <c r="K130" s="65"/>
      <c r="L130" s="36" t="str">
        <f t="shared" ref="L130" si="40">IFERROR(AVERAGE(I130:K130),"--")</f>
        <v>--</v>
      </c>
      <c r="M130" s="37"/>
      <c r="N130" s="35"/>
      <c r="O130" s="35"/>
      <c r="P130" s="35"/>
      <c r="Q130" s="36" t="str">
        <f t="shared" ref="Q130" si="41">IFERROR(AVERAGE(N130:P130),"--")</f>
        <v>--</v>
      </c>
      <c r="R130" s="38"/>
    </row>
    <row r="131" spans="1:18" ht="8.1" customHeight="1">
      <c r="A131" s="68"/>
      <c r="B131" s="40"/>
      <c r="C131" s="34"/>
      <c r="D131" s="41"/>
      <c r="E131" s="41"/>
      <c r="F131" s="41"/>
      <c r="G131" s="42"/>
      <c r="H131" s="41"/>
      <c r="I131" s="41"/>
      <c r="J131" s="41"/>
      <c r="K131" s="41"/>
      <c r="L131" s="42"/>
      <c r="M131" s="41"/>
      <c r="N131" s="41"/>
      <c r="O131" s="41"/>
      <c r="P131" s="41"/>
      <c r="Q131" s="42"/>
      <c r="R131" s="41"/>
    </row>
    <row r="132" spans="1:18" ht="15" customHeight="1">
      <c r="A132" s="213" t="s">
        <v>333</v>
      </c>
      <c r="B132" s="33" t="s">
        <v>334</v>
      </c>
      <c r="C132" s="34"/>
      <c r="D132" s="65">
        <v>17976</v>
      </c>
      <c r="E132" s="65">
        <v>18057</v>
      </c>
      <c r="F132" s="65">
        <v>17483</v>
      </c>
      <c r="G132" s="36">
        <f t="shared" ref="G132:G135" si="42">IFERROR(AVERAGE(D132:F132),"--")</f>
        <v>17838.666666666668</v>
      </c>
      <c r="H132" s="37"/>
      <c r="I132" s="65">
        <v>19210</v>
      </c>
      <c r="J132" s="65">
        <v>19116</v>
      </c>
      <c r="K132" s="65">
        <v>19143</v>
      </c>
      <c r="L132" s="36">
        <f t="shared" ref="L132:L135" si="43">IFERROR(AVERAGE(I132:K132),"--")</f>
        <v>19156.333333333332</v>
      </c>
      <c r="M132" s="37"/>
      <c r="N132" s="65">
        <v>21242</v>
      </c>
      <c r="O132" s="65">
        <v>20675</v>
      </c>
      <c r="P132" s="65">
        <v>20273</v>
      </c>
      <c r="Q132" s="36">
        <f t="shared" ref="Q132:Q135" si="44">IFERROR(AVERAGE(N132:P132),"--")</f>
        <v>20730</v>
      </c>
      <c r="R132" s="38"/>
    </row>
    <row r="133" spans="1:18" ht="15" customHeight="1">
      <c r="A133" s="213"/>
      <c r="B133" s="33" t="s">
        <v>310</v>
      </c>
      <c r="C133" s="34"/>
      <c r="D133" s="65">
        <v>52.57</v>
      </c>
      <c r="E133" s="65">
        <v>52.68</v>
      </c>
      <c r="F133" s="65">
        <v>51.27</v>
      </c>
      <c r="G133" s="36">
        <f t="shared" si="42"/>
        <v>52.173333333333339</v>
      </c>
      <c r="H133" s="37"/>
      <c r="I133" s="65">
        <v>56.07</v>
      </c>
      <c r="J133" s="65">
        <v>56.06</v>
      </c>
      <c r="K133" s="65">
        <v>55.88</v>
      </c>
      <c r="L133" s="36">
        <f t="shared" si="43"/>
        <v>56.00333333333333</v>
      </c>
      <c r="M133" s="37"/>
      <c r="N133" s="65">
        <v>62.33</v>
      </c>
      <c r="O133" s="65">
        <v>60.6</v>
      </c>
      <c r="P133" s="65">
        <v>59.36</v>
      </c>
      <c r="Q133" s="36">
        <f t="shared" si="44"/>
        <v>60.763333333333343</v>
      </c>
      <c r="R133" s="38"/>
    </row>
    <row r="134" spans="1:18" ht="15" customHeight="1">
      <c r="A134" s="214" t="s">
        <v>335</v>
      </c>
      <c r="B134" s="33" t="s">
        <v>334</v>
      </c>
      <c r="C134" s="34"/>
      <c r="D134" s="65">
        <v>14252</v>
      </c>
      <c r="E134" s="65">
        <v>14344</v>
      </c>
      <c r="F134" s="65">
        <v>14253</v>
      </c>
      <c r="G134" s="36">
        <f t="shared" si="42"/>
        <v>14283</v>
      </c>
      <c r="H134" s="37"/>
      <c r="I134" s="65">
        <v>15287</v>
      </c>
      <c r="J134" s="65">
        <v>15188</v>
      </c>
      <c r="K134" s="65">
        <v>15183</v>
      </c>
      <c r="L134" s="36">
        <f t="shared" si="43"/>
        <v>15219.333333333334</v>
      </c>
      <c r="M134" s="37"/>
      <c r="N134" s="65">
        <v>17013</v>
      </c>
      <c r="O134" s="65">
        <v>17018</v>
      </c>
      <c r="P134" s="65">
        <v>17155</v>
      </c>
      <c r="Q134" s="36">
        <f t="shared" si="44"/>
        <v>17062</v>
      </c>
      <c r="R134" s="38"/>
    </row>
    <row r="135" spans="1:18" ht="15" customHeight="1">
      <c r="A135" s="214"/>
      <c r="B135" s="33" t="s">
        <v>310</v>
      </c>
      <c r="C135" s="34"/>
      <c r="D135" s="65">
        <v>41.7</v>
      </c>
      <c r="E135" s="65">
        <v>41.7</v>
      </c>
      <c r="F135" s="65">
        <v>41.61</v>
      </c>
      <c r="G135" s="36">
        <f t="shared" si="42"/>
        <v>41.67</v>
      </c>
      <c r="H135" s="37"/>
      <c r="I135" s="65">
        <v>44.77</v>
      </c>
      <c r="J135" s="65">
        <v>44.51</v>
      </c>
      <c r="K135" s="65">
        <v>44.39</v>
      </c>
      <c r="L135" s="36">
        <f t="shared" si="43"/>
        <v>44.556666666666672</v>
      </c>
      <c r="M135" s="37"/>
      <c r="N135" s="65">
        <v>49.7</v>
      </c>
      <c r="O135" s="65">
        <v>49.9</v>
      </c>
      <c r="P135" s="65">
        <v>50.04</v>
      </c>
      <c r="Q135" s="36">
        <f t="shared" si="44"/>
        <v>49.879999999999995</v>
      </c>
      <c r="R135" s="38"/>
    </row>
    <row r="136" spans="1:18" ht="15" customHeight="1">
      <c r="A136" s="212" t="s">
        <v>336</v>
      </c>
      <c r="B136" s="33" t="s">
        <v>334</v>
      </c>
      <c r="C136" s="34"/>
      <c r="D136" s="65"/>
      <c r="E136" s="65"/>
      <c r="F136" s="65"/>
      <c r="G136" s="36"/>
      <c r="H136" s="37"/>
      <c r="I136" s="65"/>
      <c r="J136" s="65"/>
      <c r="K136" s="65"/>
      <c r="L136" s="36"/>
      <c r="M136" s="37"/>
      <c r="N136" s="65"/>
      <c r="O136" s="65"/>
      <c r="P136" s="65"/>
      <c r="Q136" s="36"/>
      <c r="R136" s="38"/>
    </row>
    <row r="137" spans="1:18" ht="15" customHeight="1">
      <c r="A137" s="212"/>
      <c r="B137" s="33" t="s">
        <v>310</v>
      </c>
      <c r="C137" s="34"/>
      <c r="D137" s="65"/>
      <c r="E137" s="65"/>
      <c r="F137" s="65"/>
      <c r="G137" s="36"/>
      <c r="H137" s="37"/>
      <c r="I137" s="65"/>
      <c r="J137" s="65"/>
      <c r="K137" s="65"/>
      <c r="L137" s="36"/>
      <c r="M137" s="37"/>
      <c r="N137" s="65"/>
      <c r="O137" s="65"/>
      <c r="P137" s="65"/>
      <c r="Q137" s="36"/>
      <c r="R137" s="38"/>
    </row>
    <row r="138" spans="1:18" ht="15" customHeight="1">
      <c r="A138" s="212" t="s">
        <v>337</v>
      </c>
      <c r="B138" s="33" t="s">
        <v>334</v>
      </c>
      <c r="C138" s="34"/>
      <c r="D138" s="35"/>
      <c r="E138" s="35"/>
      <c r="F138" s="35"/>
      <c r="G138" s="36" t="str">
        <f t="shared" ref="G138:G139" si="45">IFERROR(AVERAGE(D138:F138),"--")</f>
        <v>--</v>
      </c>
      <c r="H138" s="37"/>
      <c r="I138" s="65"/>
      <c r="J138" s="65"/>
      <c r="K138" s="65"/>
      <c r="L138" s="36" t="str">
        <f t="shared" ref="L138:L139" si="46">IFERROR(AVERAGE(I138:K138),"--")</f>
        <v>--</v>
      </c>
      <c r="M138" s="37"/>
      <c r="N138" s="35"/>
      <c r="O138" s="35"/>
      <c r="P138" s="35"/>
      <c r="Q138" s="36" t="str">
        <f t="shared" ref="Q138:Q139" si="47">IFERROR(AVERAGE(N138:P138),"--")</f>
        <v>--</v>
      </c>
      <c r="R138" s="38"/>
    </row>
    <row r="139" spans="1:18" ht="15" customHeight="1">
      <c r="A139" s="212"/>
      <c r="B139" s="33" t="s">
        <v>310</v>
      </c>
      <c r="C139" s="34"/>
      <c r="D139" s="35"/>
      <c r="E139" s="35"/>
      <c r="F139" s="35"/>
      <c r="G139" s="36" t="str">
        <f t="shared" si="45"/>
        <v>--</v>
      </c>
      <c r="H139" s="37"/>
      <c r="I139" s="35"/>
      <c r="J139" s="35"/>
      <c r="K139" s="35"/>
      <c r="L139" s="36" t="str">
        <f t="shared" si="46"/>
        <v>--</v>
      </c>
      <c r="M139" s="37"/>
      <c r="N139" s="35"/>
      <c r="O139" s="35"/>
      <c r="P139" s="35"/>
      <c r="Q139" s="36" t="str">
        <f t="shared" si="47"/>
        <v>--</v>
      </c>
      <c r="R139" s="38"/>
    </row>
    <row r="140" spans="1:18" ht="8.1" customHeight="1">
      <c r="A140" s="68"/>
      <c r="B140" s="40"/>
      <c r="C140" s="34"/>
      <c r="D140" s="41"/>
      <c r="E140" s="41"/>
      <c r="F140" s="41"/>
      <c r="G140" s="42"/>
      <c r="H140" s="41"/>
      <c r="I140" s="41"/>
      <c r="J140" s="41"/>
      <c r="K140" s="41"/>
      <c r="L140" s="42"/>
      <c r="M140" s="41"/>
      <c r="N140" s="41"/>
      <c r="O140" s="41"/>
      <c r="P140" s="41"/>
      <c r="Q140" s="42"/>
      <c r="R140" s="41"/>
    </row>
    <row r="141" spans="1:18" ht="84.75" customHeight="1">
      <c r="A141" s="213" t="s">
        <v>430</v>
      </c>
      <c r="B141" s="33" t="s">
        <v>310</v>
      </c>
      <c r="C141" s="34"/>
      <c r="D141" s="35">
        <v>146.4</v>
      </c>
      <c r="E141" s="35">
        <v>146.5</v>
      </c>
      <c r="F141" s="35">
        <v>147.9</v>
      </c>
      <c r="G141" s="36">
        <f t="shared" ref="G141:G148" si="48">IFERROR(AVERAGE(D141:F141),"--")</f>
        <v>146.93333333333331</v>
      </c>
      <c r="H141" s="37"/>
      <c r="I141" s="35">
        <v>159.80000000000001</v>
      </c>
      <c r="J141" s="35">
        <v>164.7</v>
      </c>
      <c r="K141" s="35">
        <v>156.9</v>
      </c>
      <c r="L141" s="36">
        <f t="shared" ref="L141:L148" si="49">IFERROR(AVERAGE(I141:K141),"--")</f>
        <v>160.46666666666667</v>
      </c>
      <c r="M141" s="37"/>
      <c r="N141" s="35">
        <v>178.1</v>
      </c>
      <c r="O141" s="35">
        <v>165.5</v>
      </c>
      <c r="P141" s="35">
        <v>176.8</v>
      </c>
      <c r="Q141" s="36">
        <f t="shared" ref="Q141:Q148" si="50">IFERROR(AVERAGE(N141:P141),"--")</f>
        <v>173.4666666666667</v>
      </c>
      <c r="R141" s="38"/>
    </row>
    <row r="142" spans="1:18" ht="98.25" customHeight="1">
      <c r="A142" s="213"/>
      <c r="B142" s="33" t="s">
        <v>312</v>
      </c>
      <c r="C142" s="34"/>
      <c r="D142" s="35">
        <v>228.1</v>
      </c>
      <c r="E142" s="35">
        <v>253.9</v>
      </c>
      <c r="F142" s="35">
        <v>237.2</v>
      </c>
      <c r="G142" s="36">
        <f t="shared" si="48"/>
        <v>239.73333333333335</v>
      </c>
      <c r="H142" s="37"/>
      <c r="I142" s="35">
        <v>265.7</v>
      </c>
      <c r="J142" s="35">
        <v>245.4</v>
      </c>
      <c r="K142" s="35">
        <v>242.1</v>
      </c>
      <c r="L142" s="36">
        <f t="shared" si="49"/>
        <v>251.06666666666669</v>
      </c>
      <c r="M142" s="37"/>
      <c r="N142" s="35">
        <v>264.8</v>
      </c>
      <c r="O142" s="35">
        <v>234</v>
      </c>
      <c r="P142" s="35">
        <v>261.89999999999998</v>
      </c>
      <c r="Q142" s="36">
        <f t="shared" si="50"/>
        <v>253.56666666666669</v>
      </c>
      <c r="R142" s="38"/>
    </row>
    <row r="143" spans="1:18" ht="66" customHeight="1">
      <c r="A143" s="214" t="s">
        <v>338</v>
      </c>
      <c r="B143" s="33" t="s">
        <v>310</v>
      </c>
      <c r="C143" s="34"/>
      <c r="D143" s="35">
        <v>104.4</v>
      </c>
      <c r="E143" s="35">
        <v>107</v>
      </c>
      <c r="F143" s="35">
        <v>105.1</v>
      </c>
      <c r="G143" s="36">
        <f t="shared" si="48"/>
        <v>105.5</v>
      </c>
      <c r="H143" s="37"/>
      <c r="I143" s="35">
        <v>112.3</v>
      </c>
      <c r="J143" s="35">
        <v>110.4</v>
      </c>
      <c r="K143" s="35">
        <v>111.1</v>
      </c>
      <c r="L143" s="36">
        <f t="shared" si="49"/>
        <v>111.26666666666665</v>
      </c>
      <c r="M143" s="37"/>
      <c r="N143" s="35">
        <v>121.8</v>
      </c>
      <c r="O143" s="35">
        <v>120.6</v>
      </c>
      <c r="P143" s="35">
        <v>120.4</v>
      </c>
      <c r="Q143" s="36">
        <f t="shared" si="50"/>
        <v>120.93333333333332</v>
      </c>
      <c r="R143" s="38"/>
    </row>
    <row r="144" spans="1:18" ht="15" customHeight="1">
      <c r="A144" s="214"/>
      <c r="B144" s="33" t="s">
        <v>312</v>
      </c>
      <c r="C144" s="34"/>
      <c r="D144" s="35">
        <v>158.4</v>
      </c>
      <c r="E144" s="35">
        <v>182.9</v>
      </c>
      <c r="F144" s="35">
        <v>182.6</v>
      </c>
      <c r="G144" s="36">
        <f t="shared" si="48"/>
        <v>174.63333333333333</v>
      </c>
      <c r="H144" s="37"/>
      <c r="I144" s="35">
        <v>183.3</v>
      </c>
      <c r="J144" s="35">
        <v>196.9</v>
      </c>
      <c r="K144" s="35">
        <v>184.4</v>
      </c>
      <c r="L144" s="36">
        <f t="shared" si="49"/>
        <v>188.20000000000002</v>
      </c>
      <c r="M144" s="37"/>
      <c r="N144" s="35">
        <v>185.3</v>
      </c>
      <c r="O144" s="35">
        <v>176.2</v>
      </c>
      <c r="P144" s="35">
        <v>186.4</v>
      </c>
      <c r="Q144" s="36">
        <f t="shared" si="50"/>
        <v>182.63333333333333</v>
      </c>
      <c r="R144" s="38"/>
    </row>
    <row r="145" spans="1:18" ht="15" customHeight="1">
      <c r="A145" s="212" t="s">
        <v>339</v>
      </c>
      <c r="B145" s="33" t="s">
        <v>310</v>
      </c>
      <c r="C145" s="34"/>
      <c r="D145" s="35"/>
      <c r="E145" s="35"/>
      <c r="F145" s="35"/>
      <c r="G145" s="36"/>
      <c r="H145" s="37"/>
      <c r="I145" s="35"/>
      <c r="J145" s="35"/>
      <c r="K145" s="35"/>
      <c r="L145" s="36"/>
      <c r="M145" s="37"/>
      <c r="N145" s="35"/>
      <c r="O145" s="35"/>
      <c r="P145" s="35"/>
      <c r="Q145" s="36"/>
      <c r="R145" s="38"/>
    </row>
    <row r="146" spans="1:18" ht="15" customHeight="1">
      <c r="A146" s="212"/>
      <c r="B146" s="33" t="s">
        <v>312</v>
      </c>
      <c r="C146" s="34"/>
      <c r="D146" s="35"/>
      <c r="E146" s="35"/>
      <c r="F146" s="35"/>
      <c r="G146" s="36"/>
      <c r="H146" s="37"/>
      <c r="I146" s="35"/>
      <c r="J146" s="35"/>
      <c r="K146" s="35"/>
      <c r="L146" s="36"/>
      <c r="M146" s="37"/>
      <c r="N146" s="35"/>
      <c r="O146" s="35"/>
      <c r="P146" s="35"/>
      <c r="Q146" s="36"/>
      <c r="R146" s="38"/>
    </row>
    <row r="147" spans="1:18" ht="15" customHeight="1">
      <c r="A147" s="212" t="s">
        <v>340</v>
      </c>
      <c r="B147" s="33" t="s">
        <v>310</v>
      </c>
      <c r="C147" s="34"/>
      <c r="D147" s="35"/>
      <c r="E147" s="35"/>
      <c r="F147" s="35"/>
      <c r="G147" s="36" t="str">
        <f t="shared" si="48"/>
        <v>--</v>
      </c>
      <c r="H147" s="37"/>
      <c r="I147" s="35"/>
      <c r="J147" s="35"/>
      <c r="K147" s="35"/>
      <c r="L147" s="36" t="str">
        <f t="shared" si="49"/>
        <v>--</v>
      </c>
      <c r="M147" s="37"/>
      <c r="N147" s="35"/>
      <c r="O147" s="35"/>
      <c r="P147" s="35"/>
      <c r="Q147" s="36" t="str">
        <f t="shared" si="50"/>
        <v>--</v>
      </c>
      <c r="R147" s="38"/>
    </row>
    <row r="148" spans="1:18" ht="15" customHeight="1">
      <c r="A148" s="212"/>
      <c r="B148" s="33" t="s">
        <v>312</v>
      </c>
      <c r="C148" s="34"/>
      <c r="D148" s="35"/>
      <c r="E148" s="35"/>
      <c r="F148" s="35"/>
      <c r="G148" s="36" t="str">
        <f t="shared" si="48"/>
        <v>--</v>
      </c>
      <c r="H148" s="37"/>
      <c r="I148" s="35"/>
      <c r="J148" s="35"/>
      <c r="K148" s="35"/>
      <c r="L148" s="36" t="str">
        <f t="shared" si="49"/>
        <v>--</v>
      </c>
      <c r="M148" s="37"/>
      <c r="N148" s="35"/>
      <c r="O148" s="35"/>
      <c r="P148" s="35"/>
      <c r="Q148" s="36" t="str">
        <f t="shared" si="50"/>
        <v>--</v>
      </c>
      <c r="R148" s="38"/>
    </row>
    <row r="149" spans="1:18" ht="8.1" customHeight="1">
      <c r="A149" s="68"/>
      <c r="B149" s="40"/>
      <c r="C149" s="34"/>
      <c r="D149" s="41"/>
      <c r="E149" s="41"/>
      <c r="F149" s="41"/>
      <c r="G149" s="42"/>
      <c r="H149" s="41"/>
      <c r="I149" s="41"/>
      <c r="J149" s="41"/>
      <c r="K149" s="41"/>
      <c r="L149" s="42"/>
      <c r="M149" s="41"/>
      <c r="N149" s="41"/>
      <c r="O149" s="41"/>
      <c r="P149" s="41"/>
      <c r="Q149" s="42"/>
      <c r="R149" s="41"/>
    </row>
    <row r="150" spans="1:18" ht="15" customHeight="1">
      <c r="A150" s="213" t="s">
        <v>341</v>
      </c>
      <c r="B150" s="33" t="s">
        <v>310</v>
      </c>
      <c r="C150" s="34"/>
      <c r="D150" s="35">
        <v>96.7</v>
      </c>
      <c r="E150" s="35">
        <v>97.6</v>
      </c>
      <c r="F150" s="35">
        <v>98.1</v>
      </c>
      <c r="G150" s="36">
        <f t="shared" ref="G150:G161" si="51">IFERROR(AVERAGE(D150:F150),"--")</f>
        <v>97.466666666666654</v>
      </c>
      <c r="H150" s="37"/>
      <c r="I150" s="35">
        <v>100.6</v>
      </c>
      <c r="J150" s="35">
        <v>101.8</v>
      </c>
      <c r="K150" s="35">
        <v>100.9</v>
      </c>
      <c r="L150" s="36">
        <f t="shared" ref="L150:L161" si="52">IFERROR(AVERAGE(I150:K150),"--")</f>
        <v>101.09999999999998</v>
      </c>
      <c r="M150" s="37"/>
      <c r="N150" s="35">
        <v>108.7</v>
      </c>
      <c r="O150" s="35">
        <v>105.8</v>
      </c>
      <c r="P150" s="35">
        <v>106.9</v>
      </c>
      <c r="Q150" s="36">
        <f t="shared" ref="Q150:Q161" si="53">IFERROR(AVERAGE(N150:P150),"--")</f>
        <v>107.13333333333333</v>
      </c>
      <c r="R150" s="38"/>
    </row>
    <row r="151" spans="1:18" ht="15" customHeight="1">
      <c r="A151" s="213"/>
      <c r="B151" s="33" t="s">
        <v>311</v>
      </c>
      <c r="C151" s="34"/>
      <c r="D151" s="35">
        <v>24.6</v>
      </c>
      <c r="E151" s="35">
        <v>31.8</v>
      </c>
      <c r="F151" s="35">
        <v>40.6</v>
      </c>
      <c r="G151" s="36">
        <f t="shared" si="51"/>
        <v>32.333333333333336</v>
      </c>
      <c r="H151" s="37"/>
      <c r="I151" s="35">
        <v>31.2</v>
      </c>
      <c r="J151" s="35">
        <v>31.6</v>
      </c>
      <c r="K151" s="35">
        <v>36.700000000000003</v>
      </c>
      <c r="L151" s="36">
        <f t="shared" si="52"/>
        <v>33.166666666666664</v>
      </c>
      <c r="M151" s="37"/>
      <c r="N151" s="35">
        <v>17.3</v>
      </c>
      <c r="O151" s="35">
        <v>21.9</v>
      </c>
      <c r="P151" s="35">
        <v>33.200000000000003</v>
      </c>
      <c r="Q151" s="36">
        <f t="shared" si="53"/>
        <v>24.133333333333336</v>
      </c>
      <c r="R151" s="38"/>
    </row>
    <row r="152" spans="1:18" ht="15" customHeight="1">
      <c r="A152" s="213"/>
      <c r="B152" s="33" t="s">
        <v>312</v>
      </c>
      <c r="C152" s="34"/>
      <c r="D152" s="35">
        <v>119.9</v>
      </c>
      <c r="E152" s="35">
        <v>122.3</v>
      </c>
      <c r="F152" s="35">
        <v>122.3</v>
      </c>
      <c r="G152" s="36">
        <f t="shared" si="51"/>
        <v>121.5</v>
      </c>
      <c r="H152" s="37"/>
      <c r="I152" s="35">
        <v>126.1</v>
      </c>
      <c r="J152" s="35">
        <v>131.4</v>
      </c>
      <c r="K152" s="35">
        <v>126.8</v>
      </c>
      <c r="L152" s="36">
        <f t="shared" si="52"/>
        <v>128.1</v>
      </c>
      <c r="M152" s="37"/>
      <c r="N152" s="35">
        <v>140.30000000000001</v>
      </c>
      <c r="O152" s="35">
        <v>145.80000000000001</v>
      </c>
      <c r="P152" s="35">
        <v>135.30000000000001</v>
      </c>
      <c r="Q152" s="36">
        <f t="shared" si="53"/>
        <v>140.46666666666667</v>
      </c>
      <c r="R152" s="38"/>
    </row>
    <row r="153" spans="1:18" ht="15" customHeight="1">
      <c r="A153" s="214" t="s">
        <v>342</v>
      </c>
      <c r="B153" s="33" t="s">
        <v>310</v>
      </c>
      <c r="C153" s="34"/>
      <c r="D153" s="35">
        <v>75.5</v>
      </c>
      <c r="E153" s="35">
        <v>70.7</v>
      </c>
      <c r="F153" s="35">
        <v>70.400000000000006</v>
      </c>
      <c r="G153" s="36">
        <f t="shared" si="51"/>
        <v>72.2</v>
      </c>
      <c r="H153" s="37"/>
      <c r="I153" s="35">
        <v>81</v>
      </c>
      <c r="J153" s="35">
        <v>77.599999999999994</v>
      </c>
      <c r="K153" s="35">
        <v>76.8</v>
      </c>
      <c r="L153" s="36">
        <f t="shared" si="52"/>
        <v>78.466666666666654</v>
      </c>
      <c r="M153" s="37"/>
      <c r="N153" s="35">
        <v>84.26</v>
      </c>
      <c r="O153" s="35">
        <v>84.1</v>
      </c>
      <c r="P153" s="35">
        <v>84.7</v>
      </c>
      <c r="Q153" s="36">
        <f t="shared" si="53"/>
        <v>84.353333333333339</v>
      </c>
      <c r="R153" s="38"/>
    </row>
    <row r="154" spans="1:18" ht="15" customHeight="1">
      <c r="A154" s="214"/>
      <c r="B154" s="33" t="s">
        <v>311</v>
      </c>
      <c r="C154" s="34"/>
      <c r="D154" s="35">
        <v>14.2</v>
      </c>
      <c r="E154" s="35">
        <v>20.2</v>
      </c>
      <c r="F154" s="35">
        <v>19.7</v>
      </c>
      <c r="G154" s="36">
        <f t="shared" si="51"/>
        <v>18.033333333333331</v>
      </c>
      <c r="H154" s="37"/>
      <c r="I154" s="35">
        <v>16.8</v>
      </c>
      <c r="J154" s="35">
        <v>21.6</v>
      </c>
      <c r="K154" s="35">
        <v>22.1</v>
      </c>
      <c r="L154" s="36">
        <f t="shared" si="52"/>
        <v>20.166666666666668</v>
      </c>
      <c r="M154" s="37"/>
      <c r="N154" s="35">
        <v>25.8</v>
      </c>
      <c r="O154" s="35">
        <v>41.2</v>
      </c>
      <c r="P154" s="35">
        <v>42.3</v>
      </c>
      <c r="Q154" s="36">
        <f t="shared" si="53"/>
        <v>36.43333333333333</v>
      </c>
      <c r="R154" s="38"/>
    </row>
    <row r="155" spans="1:18" ht="15" customHeight="1">
      <c r="A155" s="214"/>
      <c r="B155" s="33" t="s">
        <v>312</v>
      </c>
      <c r="C155" s="34"/>
      <c r="D155" s="35">
        <v>143.9</v>
      </c>
      <c r="E155" s="35">
        <v>147.19999999999999</v>
      </c>
      <c r="F155" s="35">
        <v>150.19999999999999</v>
      </c>
      <c r="G155" s="36">
        <f t="shared" si="51"/>
        <v>147.1</v>
      </c>
      <c r="H155" s="37"/>
      <c r="I155" s="35">
        <v>144.19999999999999</v>
      </c>
      <c r="J155" s="35">
        <v>142.5</v>
      </c>
      <c r="K155" s="151">
        <v>136</v>
      </c>
      <c r="L155" s="36">
        <f t="shared" si="52"/>
        <v>140.9</v>
      </c>
      <c r="M155" s="37"/>
      <c r="N155" s="35">
        <v>122.3</v>
      </c>
      <c r="O155" s="35">
        <v>107.7</v>
      </c>
      <c r="P155" s="35">
        <v>103.9</v>
      </c>
      <c r="Q155" s="36">
        <f t="shared" si="53"/>
        <v>111.3</v>
      </c>
      <c r="R155" s="38"/>
    </row>
    <row r="156" spans="1:18" ht="15" customHeight="1">
      <c r="A156" s="212" t="s">
        <v>343</v>
      </c>
      <c r="B156" s="33" t="s">
        <v>310</v>
      </c>
      <c r="C156" s="34"/>
      <c r="D156" s="35"/>
      <c r="E156" s="35"/>
      <c r="F156" s="35"/>
      <c r="G156" s="36"/>
      <c r="H156" s="37"/>
      <c r="I156" s="35"/>
      <c r="J156" s="35"/>
      <c r="K156" s="35"/>
      <c r="L156" s="36"/>
      <c r="M156" s="37"/>
      <c r="N156" s="35"/>
      <c r="O156" s="35"/>
      <c r="P156" s="35"/>
      <c r="Q156" s="36"/>
      <c r="R156" s="38"/>
    </row>
    <row r="157" spans="1:18" ht="15" customHeight="1">
      <c r="A157" s="212"/>
      <c r="B157" s="33" t="s">
        <v>311</v>
      </c>
      <c r="C157" s="34"/>
      <c r="D157" s="35"/>
      <c r="E157" s="35"/>
      <c r="F157" s="35"/>
      <c r="G157" s="36"/>
      <c r="H157" s="37"/>
      <c r="I157" s="35"/>
      <c r="J157" s="35"/>
      <c r="K157" s="35"/>
      <c r="L157" s="36"/>
      <c r="M157" s="37"/>
      <c r="N157" s="35"/>
      <c r="O157" s="35"/>
      <c r="P157" s="35"/>
      <c r="Q157" s="36"/>
      <c r="R157" s="38"/>
    </row>
    <row r="158" spans="1:18" ht="15" customHeight="1">
      <c r="A158" s="212"/>
      <c r="B158" s="33" t="s">
        <v>312</v>
      </c>
      <c r="C158" s="34"/>
      <c r="D158" s="35"/>
      <c r="E158" s="35"/>
      <c r="F158" s="35"/>
      <c r="G158" s="36"/>
      <c r="H158" s="37"/>
      <c r="I158" s="35"/>
      <c r="J158" s="35"/>
      <c r="K158" s="35"/>
      <c r="L158" s="36"/>
      <c r="M158" s="37"/>
      <c r="N158" s="35"/>
      <c r="O158" s="35"/>
      <c r="P158" s="35"/>
      <c r="Q158" s="36"/>
      <c r="R158" s="38"/>
    </row>
    <row r="159" spans="1:18" ht="15" customHeight="1">
      <c r="A159" s="212" t="s">
        <v>344</v>
      </c>
      <c r="B159" s="33" t="s">
        <v>310</v>
      </c>
      <c r="C159" s="34"/>
      <c r="D159" s="35"/>
      <c r="E159" s="35"/>
      <c r="F159" s="35"/>
      <c r="G159" s="36" t="str">
        <f t="shared" si="51"/>
        <v>--</v>
      </c>
      <c r="H159" s="37"/>
      <c r="I159" s="35"/>
      <c r="J159" s="35"/>
      <c r="K159" s="35"/>
      <c r="L159" s="36" t="str">
        <f t="shared" si="52"/>
        <v>--</v>
      </c>
      <c r="M159" s="37"/>
      <c r="N159" s="35"/>
      <c r="O159" s="35"/>
      <c r="P159" s="35"/>
      <c r="Q159" s="36" t="str">
        <f t="shared" si="53"/>
        <v>--</v>
      </c>
      <c r="R159" s="38"/>
    </row>
    <row r="160" spans="1:18" ht="15" customHeight="1">
      <c r="A160" s="212"/>
      <c r="B160" s="33" t="s">
        <v>311</v>
      </c>
      <c r="C160" s="34"/>
      <c r="D160" s="35"/>
      <c r="E160" s="35"/>
      <c r="F160" s="35"/>
      <c r="G160" s="36" t="str">
        <f t="shared" si="51"/>
        <v>--</v>
      </c>
      <c r="H160" s="37"/>
      <c r="I160" s="35"/>
      <c r="J160" s="35"/>
      <c r="K160" s="35"/>
      <c r="L160" s="36" t="str">
        <f t="shared" si="52"/>
        <v>--</v>
      </c>
      <c r="M160" s="37"/>
      <c r="N160" s="35"/>
      <c r="O160" s="35"/>
      <c r="P160" s="35"/>
      <c r="Q160" s="36" t="str">
        <f t="shared" si="53"/>
        <v>--</v>
      </c>
      <c r="R160" s="38"/>
    </row>
    <row r="161" spans="1:18" ht="15" customHeight="1">
      <c r="A161" s="212"/>
      <c r="B161" s="33" t="s">
        <v>312</v>
      </c>
      <c r="C161" s="34"/>
      <c r="D161" s="35"/>
      <c r="E161" s="35"/>
      <c r="F161" s="35"/>
      <c r="G161" s="36" t="str">
        <f t="shared" si="51"/>
        <v>--</v>
      </c>
      <c r="H161" s="37"/>
      <c r="I161" s="35"/>
      <c r="J161" s="35"/>
      <c r="K161" s="35"/>
      <c r="L161" s="36" t="str">
        <f t="shared" si="52"/>
        <v>--</v>
      </c>
      <c r="M161" s="37"/>
      <c r="N161" s="35"/>
      <c r="O161" s="35"/>
      <c r="P161" s="35"/>
      <c r="Q161" s="36" t="str">
        <f t="shared" si="53"/>
        <v>--</v>
      </c>
      <c r="R161" s="38"/>
    </row>
    <row r="162" spans="1:18" ht="8.1" customHeight="1">
      <c r="A162" s="68"/>
      <c r="B162" s="40"/>
      <c r="C162" s="34"/>
      <c r="D162" s="41"/>
      <c r="E162" s="41"/>
      <c r="F162" s="41"/>
      <c r="G162" s="42"/>
      <c r="H162" s="41"/>
      <c r="I162" s="41"/>
      <c r="J162" s="41"/>
      <c r="K162" s="41"/>
      <c r="L162" s="42"/>
      <c r="M162" s="41"/>
      <c r="N162" s="41"/>
      <c r="O162" s="41"/>
      <c r="P162" s="41"/>
      <c r="Q162" s="42"/>
      <c r="R162" s="41"/>
    </row>
    <row r="163" spans="1:18" ht="15" customHeight="1">
      <c r="A163" s="213" t="s">
        <v>345</v>
      </c>
      <c r="B163" s="33" t="s">
        <v>310</v>
      </c>
      <c r="C163" s="34"/>
      <c r="D163" s="35">
        <v>155.6</v>
      </c>
      <c r="E163" s="35">
        <v>155.19999999999999</v>
      </c>
      <c r="F163" s="35">
        <v>155.9</v>
      </c>
      <c r="G163" s="36">
        <f t="shared" ref="G163:G168" si="54">IFERROR(AVERAGE(D163:F163),"--")</f>
        <v>155.56666666666663</v>
      </c>
      <c r="H163" s="37"/>
      <c r="I163" s="35">
        <v>171</v>
      </c>
      <c r="J163" s="35">
        <v>170.9</v>
      </c>
      <c r="K163" s="35">
        <v>172</v>
      </c>
      <c r="L163" s="36">
        <f t="shared" ref="L163:L168" si="55">IFERROR(AVERAGE(I163:K163),"--")</f>
        <v>171.29999999999998</v>
      </c>
      <c r="M163" s="37"/>
      <c r="N163" s="35">
        <v>179.8</v>
      </c>
      <c r="O163" s="35">
        <v>179.9</v>
      </c>
      <c r="P163" s="35">
        <v>180.9</v>
      </c>
      <c r="Q163" s="36">
        <f t="shared" ref="Q163:Q168" si="56">IFERROR(AVERAGE(N163:P163),"--")</f>
        <v>180.20000000000002</v>
      </c>
      <c r="R163" s="38"/>
    </row>
    <row r="164" spans="1:18" ht="15" customHeight="1">
      <c r="A164" s="213"/>
      <c r="B164" s="33" t="s">
        <v>311</v>
      </c>
      <c r="C164" s="34"/>
      <c r="D164" s="35">
        <v>135.30000000000001</v>
      </c>
      <c r="E164" s="35">
        <v>122.3</v>
      </c>
      <c r="F164" s="35">
        <v>133.9</v>
      </c>
      <c r="G164" s="36">
        <f t="shared" si="54"/>
        <v>130.5</v>
      </c>
      <c r="H164" s="37"/>
      <c r="I164" s="35">
        <v>146.6</v>
      </c>
      <c r="J164" s="35">
        <v>148.69999999999999</v>
      </c>
      <c r="K164" s="35">
        <v>143.9</v>
      </c>
      <c r="L164" s="36">
        <f t="shared" si="55"/>
        <v>146.39999999999998</v>
      </c>
      <c r="M164" s="37"/>
      <c r="N164" s="35">
        <v>156.4</v>
      </c>
      <c r="O164" s="35">
        <v>157.4</v>
      </c>
      <c r="P164" s="35">
        <v>156.80000000000001</v>
      </c>
      <c r="Q164" s="36">
        <f t="shared" si="56"/>
        <v>156.86666666666667</v>
      </c>
      <c r="R164" s="38"/>
    </row>
    <row r="165" spans="1:18" ht="15" customHeight="1">
      <c r="A165" s="213"/>
      <c r="B165" s="33" t="s">
        <v>312</v>
      </c>
      <c r="C165" s="34"/>
      <c r="D165" s="35">
        <v>195.7</v>
      </c>
      <c r="E165" s="35">
        <v>189.2</v>
      </c>
      <c r="F165" s="35">
        <v>188.5</v>
      </c>
      <c r="G165" s="36">
        <f t="shared" si="54"/>
        <v>191.13333333333333</v>
      </c>
      <c r="H165" s="37"/>
      <c r="I165" s="35">
        <v>208.8</v>
      </c>
      <c r="J165" s="35">
        <v>207.8</v>
      </c>
      <c r="K165" s="35">
        <v>211.6</v>
      </c>
      <c r="L165" s="36">
        <f t="shared" si="55"/>
        <v>209.4</v>
      </c>
      <c r="M165" s="37"/>
      <c r="N165" s="35">
        <v>216.5</v>
      </c>
      <c r="O165" s="35">
        <v>214.7</v>
      </c>
      <c r="P165" s="35">
        <v>214.7</v>
      </c>
      <c r="Q165" s="36">
        <f t="shared" si="56"/>
        <v>215.29999999999998</v>
      </c>
      <c r="R165" s="38"/>
    </row>
    <row r="166" spans="1:18" ht="15" customHeight="1">
      <c r="A166" s="214" t="s">
        <v>346</v>
      </c>
      <c r="B166" s="33" t="s">
        <v>310</v>
      </c>
      <c r="C166" s="34"/>
      <c r="D166" s="35">
        <v>134.1</v>
      </c>
      <c r="E166" s="35">
        <v>128.19999999999999</v>
      </c>
      <c r="F166" s="35">
        <v>128.30000000000001</v>
      </c>
      <c r="G166" s="36">
        <f t="shared" si="54"/>
        <v>130.19999999999999</v>
      </c>
      <c r="H166" s="37"/>
      <c r="I166" s="35">
        <v>140.80000000000001</v>
      </c>
      <c r="J166" s="35">
        <v>138.30000000000001</v>
      </c>
      <c r="K166" s="35">
        <v>138.4</v>
      </c>
      <c r="L166" s="36">
        <f t="shared" si="55"/>
        <v>139.16666666666666</v>
      </c>
      <c r="M166" s="37"/>
      <c r="N166" s="35">
        <v>155.69999999999999</v>
      </c>
      <c r="O166" s="35">
        <v>152.80000000000001</v>
      </c>
      <c r="P166" s="35">
        <v>154.19999999999999</v>
      </c>
      <c r="Q166" s="36">
        <f t="shared" si="56"/>
        <v>154.23333333333332</v>
      </c>
      <c r="R166" s="38"/>
    </row>
    <row r="167" spans="1:18" ht="15" customHeight="1">
      <c r="A167" s="214"/>
      <c r="B167" s="33" t="s">
        <v>311</v>
      </c>
      <c r="C167" s="34"/>
      <c r="D167" s="35">
        <v>112.6</v>
      </c>
      <c r="E167" s="35">
        <v>102.6</v>
      </c>
      <c r="F167" s="35">
        <v>112.2</v>
      </c>
      <c r="G167" s="36">
        <f t="shared" si="54"/>
        <v>109.13333333333333</v>
      </c>
      <c r="H167" s="37"/>
      <c r="I167" s="35">
        <v>122.9</v>
      </c>
      <c r="J167" s="35">
        <v>121.6</v>
      </c>
      <c r="K167" s="35">
        <v>120.2</v>
      </c>
      <c r="L167" s="36">
        <f t="shared" si="55"/>
        <v>121.56666666666666</v>
      </c>
      <c r="M167" s="37"/>
      <c r="N167" s="35">
        <v>133.5</v>
      </c>
      <c r="O167" s="35">
        <v>132.1</v>
      </c>
      <c r="P167" s="35">
        <v>134.1</v>
      </c>
      <c r="Q167" s="36">
        <f t="shared" si="56"/>
        <v>133.23333333333335</v>
      </c>
      <c r="R167" s="38"/>
    </row>
    <row r="168" spans="1:18" ht="15" customHeight="1">
      <c r="A168" s="214"/>
      <c r="B168" s="33" t="s">
        <v>312</v>
      </c>
      <c r="C168" s="34"/>
      <c r="D168" s="35">
        <v>159.6</v>
      </c>
      <c r="E168" s="35">
        <v>152.5</v>
      </c>
      <c r="F168" s="151">
        <v>153</v>
      </c>
      <c r="G168" s="36">
        <f t="shared" si="54"/>
        <v>155.03333333333333</v>
      </c>
      <c r="H168" s="37"/>
      <c r="I168" s="35">
        <v>164.3</v>
      </c>
      <c r="J168" s="151">
        <v>166</v>
      </c>
      <c r="K168" s="35">
        <v>161.80000000000001</v>
      </c>
      <c r="L168" s="36">
        <f t="shared" si="55"/>
        <v>164.03333333333333</v>
      </c>
      <c r="M168" s="37"/>
      <c r="N168" s="35">
        <v>183.5</v>
      </c>
      <c r="O168" s="35">
        <v>181.7</v>
      </c>
      <c r="P168" s="35">
        <v>182.2</v>
      </c>
      <c r="Q168" s="36">
        <f t="shared" si="56"/>
        <v>182.46666666666667</v>
      </c>
      <c r="R168" s="38"/>
    </row>
    <row r="169" spans="1:18" ht="15" customHeight="1">
      <c r="A169" s="212" t="s">
        <v>347</v>
      </c>
      <c r="B169" s="33" t="s">
        <v>310</v>
      </c>
      <c r="C169" s="34"/>
      <c r="D169" s="35"/>
      <c r="E169" s="35"/>
      <c r="F169" s="35"/>
      <c r="G169" s="36"/>
      <c r="H169" s="37"/>
      <c r="I169" s="35"/>
      <c r="J169" s="35"/>
      <c r="K169" s="35"/>
      <c r="L169" s="36"/>
      <c r="M169" s="37"/>
      <c r="N169" s="35"/>
      <c r="O169" s="35"/>
      <c r="P169" s="35"/>
      <c r="Q169" s="36"/>
      <c r="R169" s="38"/>
    </row>
    <row r="170" spans="1:18" ht="15" customHeight="1">
      <c r="A170" s="212"/>
      <c r="B170" s="33" t="s">
        <v>311</v>
      </c>
      <c r="C170" s="34"/>
      <c r="D170" s="35"/>
      <c r="E170" s="35"/>
      <c r="F170" s="35"/>
      <c r="G170" s="36"/>
      <c r="H170" s="37"/>
      <c r="I170" s="35"/>
      <c r="J170" s="35"/>
      <c r="K170" s="35"/>
      <c r="L170" s="36"/>
      <c r="M170" s="37"/>
      <c r="N170" s="35"/>
      <c r="O170" s="35"/>
      <c r="P170" s="35"/>
      <c r="Q170" s="36"/>
      <c r="R170" s="38"/>
    </row>
    <row r="171" spans="1:18" ht="15" customHeight="1">
      <c r="A171" s="212"/>
      <c r="B171" s="33" t="s">
        <v>312</v>
      </c>
      <c r="C171" s="34"/>
      <c r="D171" s="35"/>
      <c r="E171" s="35"/>
      <c r="F171" s="35"/>
      <c r="G171" s="36"/>
      <c r="H171" s="37"/>
      <c r="I171" s="35"/>
      <c r="J171" s="35"/>
      <c r="K171" s="35"/>
      <c r="L171" s="36"/>
      <c r="M171" s="37"/>
      <c r="N171" s="35"/>
      <c r="O171" s="35"/>
      <c r="P171" s="35"/>
      <c r="Q171" s="36"/>
      <c r="R171" s="38"/>
    </row>
    <row r="172" spans="1:18" ht="15" customHeight="1">
      <c r="A172" s="212" t="s">
        <v>348</v>
      </c>
      <c r="B172" s="33" t="s">
        <v>310</v>
      </c>
      <c r="C172" s="34"/>
      <c r="D172" s="35"/>
      <c r="E172" s="35"/>
      <c r="F172" s="35"/>
      <c r="G172" s="36" t="str">
        <f t="shared" ref="G172:G174" si="57">IFERROR(AVERAGE(D172:F172),"--")</f>
        <v>--</v>
      </c>
      <c r="H172" s="37"/>
      <c r="I172" s="35"/>
      <c r="J172" s="35"/>
      <c r="K172" s="35"/>
      <c r="L172" s="36" t="str">
        <f t="shared" ref="L172:L174" si="58">IFERROR(AVERAGE(I172:K172),"--")</f>
        <v>--</v>
      </c>
      <c r="M172" s="37"/>
      <c r="N172" s="35"/>
      <c r="O172" s="35"/>
      <c r="P172" s="35"/>
      <c r="Q172" s="36" t="str">
        <f t="shared" ref="Q172:Q174" si="59">IFERROR(AVERAGE(N172:P172),"--")</f>
        <v>--</v>
      </c>
      <c r="R172" s="38"/>
    </row>
    <row r="173" spans="1:18" ht="15" customHeight="1">
      <c r="A173" s="212"/>
      <c r="B173" s="33" t="s">
        <v>311</v>
      </c>
      <c r="C173" s="34"/>
      <c r="D173" s="35"/>
      <c r="E173" s="35"/>
      <c r="F173" s="35"/>
      <c r="G173" s="36" t="str">
        <f t="shared" si="57"/>
        <v>--</v>
      </c>
      <c r="H173" s="37"/>
      <c r="I173" s="35"/>
      <c r="J173" s="35"/>
      <c r="K173" s="35"/>
      <c r="L173" s="36" t="str">
        <f t="shared" si="58"/>
        <v>--</v>
      </c>
      <c r="M173" s="37"/>
      <c r="N173" s="35"/>
      <c r="O173" s="35"/>
      <c r="P173" s="35"/>
      <c r="Q173" s="36" t="str">
        <f t="shared" si="59"/>
        <v>--</v>
      </c>
      <c r="R173" s="38"/>
    </row>
    <row r="174" spans="1:18" ht="15" customHeight="1">
      <c r="A174" s="212"/>
      <c r="B174" s="33" t="s">
        <v>312</v>
      </c>
      <c r="C174" s="34"/>
      <c r="D174" s="35"/>
      <c r="E174" s="35"/>
      <c r="F174" s="35"/>
      <c r="G174" s="36" t="str">
        <f t="shared" si="57"/>
        <v>--</v>
      </c>
      <c r="H174" s="37"/>
      <c r="I174" s="35"/>
      <c r="J174" s="35"/>
      <c r="K174" s="35"/>
      <c r="L174" s="36" t="str">
        <f t="shared" si="58"/>
        <v>--</v>
      </c>
      <c r="M174" s="37"/>
      <c r="N174" s="35"/>
      <c r="O174" s="35"/>
      <c r="P174" s="35"/>
      <c r="Q174" s="36" t="str">
        <f t="shared" si="59"/>
        <v>--</v>
      </c>
      <c r="R174" s="39"/>
    </row>
    <row r="175" spans="1:18" ht="8.1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</row>
    <row r="176" spans="1:18" ht="15" hidden="1" customHeight="1">
      <c r="A176" s="227" t="s">
        <v>349</v>
      </c>
      <c r="B176" s="72" t="s">
        <v>350</v>
      </c>
      <c r="C176" s="73"/>
      <c r="D176" s="35"/>
      <c r="E176" s="35"/>
      <c r="F176" s="35"/>
      <c r="G176" s="36" t="str">
        <f t="shared" ref="G176:G182" si="60">IFERROR(AVERAGE(D176:F176),"--")</f>
        <v>--</v>
      </c>
      <c r="H176" s="39"/>
      <c r="I176" s="35"/>
      <c r="J176" s="35"/>
      <c r="K176" s="35"/>
      <c r="L176" s="36" t="str">
        <f t="shared" ref="L176:L182" si="61">IFERROR(AVERAGE(I176:K176),"--")</f>
        <v>--</v>
      </c>
      <c r="M176" s="39"/>
      <c r="N176" s="35"/>
      <c r="O176" s="35"/>
      <c r="P176" s="35"/>
      <c r="Q176" s="36" t="str">
        <f t="shared" ref="Q176:Q182" si="62">IFERROR(AVERAGE(N176:P176),"--")</f>
        <v>--</v>
      </c>
      <c r="R176" s="73"/>
    </row>
    <row r="177" spans="1:18" ht="15" hidden="1" customHeight="1">
      <c r="A177" s="228"/>
      <c r="B177" s="74" t="s">
        <v>351</v>
      </c>
      <c r="C177" s="73"/>
      <c r="D177" s="35"/>
      <c r="E177" s="35"/>
      <c r="F177" s="35"/>
      <c r="G177" s="36" t="str">
        <f t="shared" si="60"/>
        <v>--</v>
      </c>
      <c r="H177" s="39"/>
      <c r="I177" s="35"/>
      <c r="J177" s="35"/>
      <c r="K177" s="35"/>
      <c r="L177" s="36" t="str">
        <f t="shared" si="61"/>
        <v>--</v>
      </c>
      <c r="M177" s="39"/>
      <c r="N177" s="35"/>
      <c r="O177" s="35"/>
      <c r="P177" s="35"/>
      <c r="Q177" s="36" t="str">
        <f t="shared" si="62"/>
        <v>--</v>
      </c>
      <c r="R177" s="73"/>
    </row>
    <row r="178" spans="1:18" ht="15" hidden="1" customHeight="1">
      <c r="A178" s="228"/>
      <c r="B178" s="74" t="s">
        <v>352</v>
      </c>
      <c r="C178" s="73"/>
      <c r="D178" s="35"/>
      <c r="E178" s="35"/>
      <c r="F178" s="35"/>
      <c r="G178" s="36" t="str">
        <f t="shared" si="60"/>
        <v>--</v>
      </c>
      <c r="H178" s="39"/>
      <c r="I178" s="35"/>
      <c r="J178" s="35"/>
      <c r="K178" s="35"/>
      <c r="L178" s="36" t="str">
        <f t="shared" si="61"/>
        <v>--</v>
      </c>
      <c r="M178" s="39"/>
      <c r="N178" s="35"/>
      <c r="O178" s="35"/>
      <c r="P178" s="35"/>
      <c r="Q178" s="36" t="str">
        <f t="shared" si="62"/>
        <v>--</v>
      </c>
      <c r="R178" s="73"/>
    </row>
    <row r="179" spans="1:18" ht="15" hidden="1" customHeight="1">
      <c r="A179" s="228"/>
      <c r="B179" s="74" t="s">
        <v>353</v>
      </c>
      <c r="C179" s="73"/>
      <c r="D179" s="35"/>
      <c r="E179" s="35"/>
      <c r="F179" s="35"/>
      <c r="G179" s="36" t="str">
        <f t="shared" si="60"/>
        <v>--</v>
      </c>
      <c r="H179" s="39"/>
      <c r="I179" s="35"/>
      <c r="J179" s="35"/>
      <c r="K179" s="35"/>
      <c r="L179" s="36" t="str">
        <f t="shared" si="61"/>
        <v>--</v>
      </c>
      <c r="M179" s="39"/>
      <c r="N179" s="35"/>
      <c r="O179" s="35"/>
      <c r="P179" s="35"/>
      <c r="Q179" s="36" t="str">
        <f t="shared" si="62"/>
        <v>--</v>
      </c>
      <c r="R179" s="73"/>
    </row>
    <row r="180" spans="1:18" ht="15" hidden="1" customHeight="1">
      <c r="A180" s="228"/>
      <c r="B180" s="74" t="s">
        <v>354</v>
      </c>
      <c r="C180" s="73"/>
      <c r="D180" s="35"/>
      <c r="E180" s="35"/>
      <c r="F180" s="35"/>
      <c r="G180" s="36" t="str">
        <f t="shared" si="60"/>
        <v>--</v>
      </c>
      <c r="H180" s="39"/>
      <c r="I180" s="35"/>
      <c r="J180" s="35"/>
      <c r="K180" s="35"/>
      <c r="L180" s="36" t="str">
        <f t="shared" si="61"/>
        <v>--</v>
      </c>
      <c r="M180" s="39"/>
      <c r="N180" s="35"/>
      <c r="O180" s="35"/>
      <c r="P180" s="35"/>
      <c r="Q180" s="36" t="str">
        <f t="shared" si="62"/>
        <v>--</v>
      </c>
      <c r="R180" s="73"/>
    </row>
    <row r="181" spans="1:18" ht="15" hidden="1" customHeight="1">
      <c r="A181" s="228"/>
      <c r="B181" s="74" t="s">
        <v>355</v>
      </c>
      <c r="C181" s="73"/>
      <c r="D181" s="35"/>
      <c r="E181" s="35"/>
      <c r="F181" s="35"/>
      <c r="G181" s="36" t="str">
        <f t="shared" si="60"/>
        <v>--</v>
      </c>
      <c r="H181" s="39"/>
      <c r="I181" s="35"/>
      <c r="J181" s="35"/>
      <c r="K181" s="35"/>
      <c r="L181" s="36" t="str">
        <f t="shared" si="61"/>
        <v>--</v>
      </c>
      <c r="M181" s="39"/>
      <c r="N181" s="35"/>
      <c r="O181" s="35"/>
      <c r="P181" s="35"/>
      <c r="Q181" s="36" t="str">
        <f t="shared" si="62"/>
        <v>--</v>
      </c>
      <c r="R181" s="73"/>
    </row>
    <row r="182" spans="1:18" ht="15" hidden="1" customHeight="1">
      <c r="A182" s="229"/>
      <c r="B182" s="75" t="s">
        <v>356</v>
      </c>
      <c r="C182" s="73"/>
      <c r="D182" s="35"/>
      <c r="E182" s="35"/>
      <c r="F182" s="35"/>
      <c r="G182" s="36" t="str">
        <f t="shared" si="60"/>
        <v>--</v>
      </c>
      <c r="H182" s="39"/>
      <c r="I182" s="35"/>
      <c r="J182" s="35"/>
      <c r="K182" s="35"/>
      <c r="L182" s="36" t="str">
        <f t="shared" si="61"/>
        <v>--</v>
      </c>
      <c r="M182" s="39"/>
      <c r="N182" s="35"/>
      <c r="O182" s="35"/>
      <c r="P182" s="35"/>
      <c r="Q182" s="36" t="str">
        <f t="shared" si="62"/>
        <v>--</v>
      </c>
      <c r="R182" s="73"/>
    </row>
    <row r="183" spans="1:18" ht="8.1" hidden="1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</row>
    <row r="184" spans="1:18" ht="15" customHeight="1">
      <c r="A184" s="227" t="s">
        <v>357</v>
      </c>
      <c r="B184" s="72" t="s">
        <v>350</v>
      </c>
      <c r="C184" s="73"/>
      <c r="D184" s="35"/>
      <c r="E184" s="35"/>
      <c r="F184" s="35"/>
      <c r="G184" s="36" t="str">
        <f t="shared" ref="G184:G190" si="63">IFERROR(AVERAGE(D184:F184),"--")</f>
        <v>--</v>
      </c>
      <c r="H184" s="39"/>
      <c r="I184" s="35"/>
      <c r="J184" s="35"/>
      <c r="K184" s="35"/>
      <c r="L184" s="36" t="str">
        <f t="shared" ref="L184:L190" si="64">IFERROR(AVERAGE(I184:K184),"--")</f>
        <v>--</v>
      </c>
      <c r="M184" s="39"/>
      <c r="N184" s="35"/>
      <c r="O184" s="35"/>
      <c r="P184" s="35"/>
      <c r="Q184" s="36" t="str">
        <f t="shared" ref="Q184:Q190" si="65">IFERROR(AVERAGE(N184:P184),"--")</f>
        <v>--</v>
      </c>
      <c r="R184" s="73"/>
    </row>
    <row r="185" spans="1:18" ht="15" customHeight="1">
      <c r="A185" s="228"/>
      <c r="B185" s="74" t="s">
        <v>351</v>
      </c>
      <c r="C185" s="73"/>
      <c r="D185" s="35"/>
      <c r="E185" s="35"/>
      <c r="F185" s="35"/>
      <c r="G185" s="36" t="str">
        <f t="shared" si="63"/>
        <v>--</v>
      </c>
      <c r="H185" s="39"/>
      <c r="I185" s="35"/>
      <c r="J185" s="35"/>
      <c r="K185" s="35"/>
      <c r="L185" s="36" t="str">
        <f t="shared" si="64"/>
        <v>--</v>
      </c>
      <c r="M185" s="39"/>
      <c r="N185" s="35"/>
      <c r="O185" s="35"/>
      <c r="P185" s="35"/>
      <c r="Q185" s="36" t="str">
        <f t="shared" si="65"/>
        <v>--</v>
      </c>
      <c r="R185" s="73"/>
    </row>
    <row r="186" spans="1:18" ht="15" customHeight="1">
      <c r="A186" s="228"/>
      <c r="B186" s="74" t="s">
        <v>352</v>
      </c>
      <c r="C186" s="73"/>
      <c r="D186" s="35"/>
      <c r="E186" s="35"/>
      <c r="F186" s="35"/>
      <c r="G186" s="36" t="str">
        <f t="shared" si="63"/>
        <v>--</v>
      </c>
      <c r="H186" s="39"/>
      <c r="I186" s="35"/>
      <c r="J186" s="35"/>
      <c r="K186" s="35"/>
      <c r="L186" s="36" t="str">
        <f t="shared" si="64"/>
        <v>--</v>
      </c>
      <c r="M186" s="39"/>
      <c r="N186" s="35"/>
      <c r="O186" s="35"/>
      <c r="P186" s="35"/>
      <c r="Q186" s="36" t="str">
        <f t="shared" si="65"/>
        <v>--</v>
      </c>
      <c r="R186" s="73"/>
    </row>
    <row r="187" spans="1:18" ht="15" customHeight="1">
      <c r="A187" s="228"/>
      <c r="B187" s="74" t="s">
        <v>353</v>
      </c>
      <c r="C187" s="73"/>
      <c r="D187" s="35"/>
      <c r="E187" s="35"/>
      <c r="F187" s="35"/>
      <c r="G187" s="36" t="str">
        <f t="shared" si="63"/>
        <v>--</v>
      </c>
      <c r="H187" s="39"/>
      <c r="I187" s="35"/>
      <c r="J187" s="35"/>
      <c r="K187" s="35"/>
      <c r="L187" s="36" t="str">
        <f t="shared" si="64"/>
        <v>--</v>
      </c>
      <c r="M187" s="39"/>
      <c r="N187" s="35"/>
      <c r="O187" s="35"/>
      <c r="P187" s="35"/>
      <c r="Q187" s="36" t="str">
        <f t="shared" si="65"/>
        <v>--</v>
      </c>
      <c r="R187" s="73"/>
    </row>
    <row r="188" spans="1:18" ht="15" customHeight="1">
      <c r="A188" s="228"/>
      <c r="B188" s="74" t="s">
        <v>354</v>
      </c>
      <c r="C188" s="73"/>
      <c r="D188" s="35"/>
      <c r="E188" s="35"/>
      <c r="F188" s="35"/>
      <c r="G188" s="36" t="str">
        <f t="shared" si="63"/>
        <v>--</v>
      </c>
      <c r="H188" s="39"/>
      <c r="I188" s="35"/>
      <c r="J188" s="35"/>
      <c r="K188" s="35"/>
      <c r="L188" s="36" t="str">
        <f t="shared" si="64"/>
        <v>--</v>
      </c>
      <c r="M188" s="39"/>
      <c r="N188" s="35"/>
      <c r="O188" s="35"/>
      <c r="P188" s="35"/>
      <c r="Q188" s="36" t="str">
        <f t="shared" si="65"/>
        <v>--</v>
      </c>
      <c r="R188" s="73"/>
    </row>
    <row r="189" spans="1:18" ht="15" customHeight="1">
      <c r="A189" s="228"/>
      <c r="B189" s="74" t="s">
        <v>355</v>
      </c>
      <c r="C189" s="73"/>
      <c r="D189" s="35"/>
      <c r="E189" s="35"/>
      <c r="F189" s="35"/>
      <c r="G189" s="36" t="str">
        <f t="shared" si="63"/>
        <v>--</v>
      </c>
      <c r="H189" s="39"/>
      <c r="I189" s="35"/>
      <c r="J189" s="35"/>
      <c r="K189" s="35"/>
      <c r="L189" s="36" t="str">
        <f t="shared" si="64"/>
        <v>--</v>
      </c>
      <c r="M189" s="39"/>
      <c r="N189" s="35"/>
      <c r="O189" s="35"/>
      <c r="P189" s="35"/>
      <c r="Q189" s="36" t="str">
        <f t="shared" si="65"/>
        <v>--</v>
      </c>
      <c r="R189" s="73"/>
    </row>
    <row r="190" spans="1:18" ht="15" customHeight="1">
      <c r="A190" s="229"/>
      <c r="B190" s="75" t="s">
        <v>356</v>
      </c>
      <c r="C190" s="73"/>
      <c r="D190" s="35"/>
      <c r="E190" s="35"/>
      <c r="F190" s="35"/>
      <c r="G190" s="36" t="str">
        <f t="shared" si="63"/>
        <v>--</v>
      </c>
      <c r="H190" s="39"/>
      <c r="I190" s="35"/>
      <c r="J190" s="35"/>
      <c r="K190" s="35"/>
      <c r="L190" s="36" t="str">
        <f t="shared" si="64"/>
        <v>--</v>
      </c>
      <c r="M190" s="39"/>
      <c r="N190" s="35"/>
      <c r="O190" s="35"/>
      <c r="P190" s="35"/>
      <c r="Q190" s="36" t="str">
        <f t="shared" si="65"/>
        <v>--</v>
      </c>
      <c r="R190" s="73"/>
    </row>
    <row r="191" spans="1:18" ht="8.1" hidden="1" customHeight="1">
      <c r="A191" s="43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73"/>
    </row>
    <row r="192" spans="1:18" ht="15" hidden="1" customHeight="1">
      <c r="A192" s="227" t="s">
        <v>358</v>
      </c>
      <c r="B192" s="76" t="s">
        <v>350</v>
      </c>
      <c r="C192" s="73"/>
      <c r="D192" s="35"/>
      <c r="E192" s="35"/>
      <c r="F192" s="35"/>
      <c r="G192" s="36" t="str">
        <f t="shared" ref="G192:G198" si="66">IFERROR(AVERAGE(D192:F192),"--")</f>
        <v>--</v>
      </c>
      <c r="H192" s="39"/>
      <c r="I192" s="35"/>
      <c r="J192" s="35"/>
      <c r="K192" s="35"/>
      <c r="L192" s="36" t="str">
        <f t="shared" ref="L192:L198" si="67">IFERROR(AVERAGE(I192:K192),"--")</f>
        <v>--</v>
      </c>
      <c r="M192" s="39"/>
      <c r="N192" s="35"/>
      <c r="O192" s="35"/>
      <c r="P192" s="35"/>
      <c r="Q192" s="36" t="str">
        <f t="shared" ref="Q192:Q198" si="68">IFERROR(AVERAGE(N192:P192),"--")</f>
        <v>--</v>
      </c>
      <c r="R192" s="73"/>
    </row>
    <row r="193" spans="1:18" ht="15" hidden="1" customHeight="1">
      <c r="A193" s="228"/>
      <c r="B193" s="74" t="s">
        <v>351</v>
      </c>
      <c r="C193" s="73"/>
      <c r="D193" s="35"/>
      <c r="E193" s="35"/>
      <c r="F193" s="35"/>
      <c r="G193" s="36" t="str">
        <f t="shared" si="66"/>
        <v>--</v>
      </c>
      <c r="H193" s="39"/>
      <c r="I193" s="35"/>
      <c r="J193" s="35"/>
      <c r="K193" s="35"/>
      <c r="L193" s="36" t="str">
        <f t="shared" si="67"/>
        <v>--</v>
      </c>
      <c r="M193" s="39"/>
      <c r="N193" s="35"/>
      <c r="O193" s="35"/>
      <c r="P193" s="35"/>
      <c r="Q193" s="36" t="str">
        <f t="shared" si="68"/>
        <v>--</v>
      </c>
      <c r="R193" s="73"/>
    </row>
    <row r="194" spans="1:18" ht="15" hidden="1" customHeight="1">
      <c r="A194" s="228"/>
      <c r="B194" s="74" t="s">
        <v>352</v>
      </c>
      <c r="C194" s="73"/>
      <c r="D194" s="35"/>
      <c r="E194" s="35"/>
      <c r="F194" s="35"/>
      <c r="G194" s="36" t="str">
        <f t="shared" si="66"/>
        <v>--</v>
      </c>
      <c r="H194" s="39"/>
      <c r="I194" s="35"/>
      <c r="J194" s="35"/>
      <c r="K194" s="35"/>
      <c r="L194" s="36" t="str">
        <f t="shared" si="67"/>
        <v>--</v>
      </c>
      <c r="M194" s="39"/>
      <c r="N194" s="35"/>
      <c r="O194" s="35"/>
      <c r="P194" s="35"/>
      <c r="Q194" s="36" t="str">
        <f t="shared" si="68"/>
        <v>--</v>
      </c>
      <c r="R194" s="73"/>
    </row>
    <row r="195" spans="1:18" ht="15" hidden="1" customHeight="1">
      <c r="A195" s="228"/>
      <c r="B195" s="74" t="s">
        <v>353</v>
      </c>
      <c r="C195" s="73"/>
      <c r="D195" s="35"/>
      <c r="E195" s="35"/>
      <c r="F195" s="35"/>
      <c r="G195" s="36" t="str">
        <f t="shared" si="66"/>
        <v>--</v>
      </c>
      <c r="H195" s="39"/>
      <c r="I195" s="35"/>
      <c r="J195" s="35"/>
      <c r="K195" s="35"/>
      <c r="L195" s="36" t="str">
        <f t="shared" si="67"/>
        <v>--</v>
      </c>
      <c r="M195" s="39"/>
      <c r="N195" s="35"/>
      <c r="O195" s="35"/>
      <c r="P195" s="35"/>
      <c r="Q195" s="36" t="str">
        <f t="shared" si="68"/>
        <v>--</v>
      </c>
      <c r="R195" s="73"/>
    </row>
    <row r="196" spans="1:18" ht="15" hidden="1" customHeight="1">
      <c r="A196" s="228"/>
      <c r="B196" s="74" t="s">
        <v>354</v>
      </c>
      <c r="C196" s="73"/>
      <c r="D196" s="35"/>
      <c r="E196" s="35"/>
      <c r="F196" s="35"/>
      <c r="G196" s="36" t="str">
        <f t="shared" si="66"/>
        <v>--</v>
      </c>
      <c r="H196" s="39"/>
      <c r="I196" s="35"/>
      <c r="J196" s="35"/>
      <c r="K196" s="35"/>
      <c r="L196" s="36" t="str">
        <f t="shared" si="67"/>
        <v>--</v>
      </c>
      <c r="M196" s="39"/>
      <c r="N196" s="35"/>
      <c r="O196" s="35"/>
      <c r="P196" s="35"/>
      <c r="Q196" s="36" t="str">
        <f t="shared" si="68"/>
        <v>--</v>
      </c>
      <c r="R196" s="73"/>
    </row>
    <row r="197" spans="1:18" ht="15" hidden="1" customHeight="1">
      <c r="A197" s="228"/>
      <c r="B197" s="74" t="s">
        <v>355</v>
      </c>
      <c r="C197" s="73"/>
      <c r="D197" s="35"/>
      <c r="E197" s="35"/>
      <c r="F197" s="35"/>
      <c r="G197" s="36" t="str">
        <f t="shared" si="66"/>
        <v>--</v>
      </c>
      <c r="H197" s="39"/>
      <c r="I197" s="35"/>
      <c r="J197" s="35"/>
      <c r="K197" s="35"/>
      <c r="L197" s="36" t="str">
        <f t="shared" si="67"/>
        <v>--</v>
      </c>
      <c r="M197" s="39"/>
      <c r="N197" s="35"/>
      <c r="O197" s="35"/>
      <c r="P197" s="35"/>
      <c r="Q197" s="36" t="str">
        <f t="shared" si="68"/>
        <v>--</v>
      </c>
      <c r="R197" s="73"/>
    </row>
    <row r="198" spans="1:18" ht="15" hidden="1" customHeight="1">
      <c r="A198" s="229"/>
      <c r="B198" s="75" t="s">
        <v>356</v>
      </c>
      <c r="C198" s="73"/>
      <c r="D198" s="35"/>
      <c r="E198" s="35"/>
      <c r="F198" s="35"/>
      <c r="G198" s="36" t="str">
        <f t="shared" si="66"/>
        <v>--</v>
      </c>
      <c r="H198" s="39"/>
      <c r="I198" s="35"/>
      <c r="J198" s="35"/>
      <c r="K198" s="35"/>
      <c r="L198" s="36" t="str">
        <f t="shared" si="67"/>
        <v>--</v>
      </c>
      <c r="M198" s="39"/>
      <c r="N198" s="35"/>
      <c r="O198" s="35"/>
      <c r="P198" s="35"/>
      <c r="Q198" s="36" t="str">
        <f t="shared" si="68"/>
        <v>--</v>
      </c>
      <c r="R198" s="73"/>
    </row>
    <row r="199" spans="1:18" ht="7.5" hidden="1" customHeight="1">
      <c r="A199" s="43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73"/>
    </row>
    <row r="200" spans="1:18" ht="15" hidden="1" customHeight="1">
      <c r="A200" s="227" t="s">
        <v>359</v>
      </c>
      <c r="B200" s="76" t="s">
        <v>350</v>
      </c>
      <c r="C200" s="73"/>
      <c r="D200" s="35"/>
      <c r="E200" s="35"/>
      <c r="F200" s="35"/>
      <c r="G200" s="36" t="str">
        <f t="shared" ref="G200:G206" si="69">IFERROR(AVERAGE(D200:F200),"--")</f>
        <v>--</v>
      </c>
      <c r="H200" s="39"/>
      <c r="I200" s="35"/>
      <c r="J200" s="35"/>
      <c r="K200" s="35"/>
      <c r="L200" s="36" t="str">
        <f t="shared" ref="L200:L206" si="70">IFERROR(AVERAGE(I200:K200),"--")</f>
        <v>--</v>
      </c>
      <c r="M200" s="39"/>
      <c r="N200" s="35"/>
      <c r="O200" s="35"/>
      <c r="P200" s="35"/>
      <c r="Q200" s="36" t="str">
        <f t="shared" ref="Q200:Q206" si="71">IFERROR(AVERAGE(N200:P200),"--")</f>
        <v>--</v>
      </c>
      <c r="R200" s="73"/>
    </row>
    <row r="201" spans="1:18" ht="15" hidden="1" customHeight="1">
      <c r="A201" s="228"/>
      <c r="B201" s="74" t="s">
        <v>351</v>
      </c>
      <c r="C201" s="73"/>
      <c r="D201" s="35"/>
      <c r="E201" s="35"/>
      <c r="F201" s="35"/>
      <c r="G201" s="36" t="str">
        <f t="shared" si="69"/>
        <v>--</v>
      </c>
      <c r="H201" s="39"/>
      <c r="I201" s="35"/>
      <c r="J201" s="35"/>
      <c r="K201" s="35"/>
      <c r="L201" s="36" t="str">
        <f t="shared" si="70"/>
        <v>--</v>
      </c>
      <c r="M201" s="39"/>
      <c r="N201" s="35"/>
      <c r="O201" s="35"/>
      <c r="P201" s="35"/>
      <c r="Q201" s="36" t="str">
        <f t="shared" si="71"/>
        <v>--</v>
      </c>
      <c r="R201" s="73"/>
    </row>
    <row r="202" spans="1:18" ht="15" hidden="1" customHeight="1">
      <c r="A202" s="228"/>
      <c r="B202" s="74" t="s">
        <v>352</v>
      </c>
      <c r="C202" s="73"/>
      <c r="D202" s="35"/>
      <c r="E202" s="35"/>
      <c r="F202" s="35"/>
      <c r="G202" s="36" t="str">
        <f t="shared" si="69"/>
        <v>--</v>
      </c>
      <c r="H202" s="39"/>
      <c r="I202" s="35"/>
      <c r="J202" s="35"/>
      <c r="K202" s="35"/>
      <c r="L202" s="36" t="str">
        <f t="shared" si="70"/>
        <v>--</v>
      </c>
      <c r="M202" s="39"/>
      <c r="N202" s="35"/>
      <c r="O202" s="35"/>
      <c r="P202" s="35"/>
      <c r="Q202" s="36" t="str">
        <f t="shared" si="71"/>
        <v>--</v>
      </c>
      <c r="R202" s="73"/>
    </row>
    <row r="203" spans="1:18" ht="15" hidden="1" customHeight="1">
      <c r="A203" s="228"/>
      <c r="B203" s="74" t="s">
        <v>353</v>
      </c>
      <c r="C203" s="73"/>
      <c r="D203" s="35"/>
      <c r="E203" s="35"/>
      <c r="F203" s="35"/>
      <c r="G203" s="36" t="str">
        <f t="shared" si="69"/>
        <v>--</v>
      </c>
      <c r="H203" s="39"/>
      <c r="I203" s="35"/>
      <c r="J203" s="35"/>
      <c r="K203" s="35"/>
      <c r="L203" s="36" t="str">
        <f t="shared" si="70"/>
        <v>--</v>
      </c>
      <c r="M203" s="39"/>
      <c r="N203" s="35"/>
      <c r="O203" s="35"/>
      <c r="P203" s="35"/>
      <c r="Q203" s="36" t="str">
        <f t="shared" si="71"/>
        <v>--</v>
      </c>
      <c r="R203" s="73"/>
    </row>
    <row r="204" spans="1:18" ht="15" hidden="1" customHeight="1">
      <c r="A204" s="228"/>
      <c r="B204" s="74" t="s">
        <v>354</v>
      </c>
      <c r="C204" s="73"/>
      <c r="D204" s="35"/>
      <c r="E204" s="35"/>
      <c r="F204" s="35"/>
      <c r="G204" s="36" t="str">
        <f t="shared" si="69"/>
        <v>--</v>
      </c>
      <c r="H204" s="39"/>
      <c r="I204" s="35"/>
      <c r="J204" s="35"/>
      <c r="K204" s="35"/>
      <c r="L204" s="36" t="str">
        <f t="shared" si="70"/>
        <v>--</v>
      </c>
      <c r="M204" s="39"/>
      <c r="N204" s="35"/>
      <c r="O204" s="35"/>
      <c r="P204" s="35"/>
      <c r="Q204" s="36" t="str">
        <f t="shared" si="71"/>
        <v>--</v>
      </c>
      <c r="R204" s="73"/>
    </row>
    <row r="205" spans="1:18" ht="15" hidden="1" customHeight="1">
      <c r="A205" s="228"/>
      <c r="B205" s="74" t="s">
        <v>355</v>
      </c>
      <c r="C205" s="73"/>
      <c r="D205" s="35"/>
      <c r="E205" s="35"/>
      <c r="F205" s="35"/>
      <c r="G205" s="36" t="str">
        <f t="shared" si="69"/>
        <v>--</v>
      </c>
      <c r="H205" s="39"/>
      <c r="I205" s="35"/>
      <c r="J205" s="35"/>
      <c r="K205" s="35"/>
      <c r="L205" s="36" t="str">
        <f t="shared" si="70"/>
        <v>--</v>
      </c>
      <c r="M205" s="39"/>
      <c r="N205" s="35"/>
      <c r="O205" s="35"/>
      <c r="P205" s="35"/>
      <c r="Q205" s="36" t="str">
        <f t="shared" si="71"/>
        <v>--</v>
      </c>
      <c r="R205" s="73"/>
    </row>
    <row r="206" spans="1:18" ht="15" hidden="1" customHeight="1">
      <c r="A206" s="229"/>
      <c r="B206" s="75" t="s">
        <v>356</v>
      </c>
      <c r="C206" s="73"/>
      <c r="D206" s="35"/>
      <c r="E206" s="35"/>
      <c r="F206" s="35"/>
      <c r="G206" s="36" t="str">
        <f t="shared" si="69"/>
        <v>--</v>
      </c>
      <c r="H206" s="39"/>
      <c r="I206" s="35"/>
      <c r="J206" s="35"/>
      <c r="K206" s="35"/>
      <c r="L206" s="36" t="str">
        <f t="shared" si="70"/>
        <v>--</v>
      </c>
      <c r="M206" s="39"/>
      <c r="N206" s="35"/>
      <c r="O206" s="35"/>
      <c r="P206" s="35"/>
      <c r="Q206" s="36" t="str">
        <f t="shared" si="71"/>
        <v>--</v>
      </c>
      <c r="R206" s="73"/>
    </row>
    <row r="207" spans="1:18" ht="7.5" customHeight="1">
      <c r="A207" s="43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73"/>
    </row>
    <row r="208" spans="1:18" ht="15" customHeight="1">
      <c r="A208" s="227" t="s">
        <v>360</v>
      </c>
      <c r="B208" s="76" t="s">
        <v>350</v>
      </c>
      <c r="C208" s="73"/>
      <c r="D208" s="35"/>
      <c r="E208" s="35"/>
      <c r="F208" s="35"/>
      <c r="G208" s="36" t="str">
        <f t="shared" ref="G208:G214" si="72">IFERROR(AVERAGE(D208:F208),"--")</f>
        <v>--</v>
      </c>
      <c r="H208" s="39"/>
      <c r="I208" s="35"/>
      <c r="J208" s="35"/>
      <c r="K208" s="35"/>
      <c r="L208" s="36" t="str">
        <f t="shared" ref="L208:L214" si="73">IFERROR(AVERAGE(I208:K208),"--")</f>
        <v>--</v>
      </c>
      <c r="M208" s="39"/>
      <c r="N208" s="35"/>
      <c r="O208" s="35"/>
      <c r="P208" s="35"/>
      <c r="Q208" s="36" t="str">
        <f t="shared" ref="Q208:Q214" si="74">IFERROR(AVERAGE(N208:P208),"--")</f>
        <v>--</v>
      </c>
      <c r="R208" s="73"/>
    </row>
    <row r="209" spans="1:18" ht="15" customHeight="1">
      <c r="A209" s="228"/>
      <c r="B209" s="74" t="s">
        <v>351</v>
      </c>
      <c r="C209" s="73"/>
      <c r="D209" s="35"/>
      <c r="E209" s="35"/>
      <c r="F209" s="35"/>
      <c r="G209" s="36" t="str">
        <f t="shared" si="72"/>
        <v>--</v>
      </c>
      <c r="H209" s="39"/>
      <c r="I209" s="35"/>
      <c r="J209" s="35"/>
      <c r="K209" s="35"/>
      <c r="L209" s="36" t="str">
        <f t="shared" si="73"/>
        <v>--</v>
      </c>
      <c r="M209" s="39"/>
      <c r="N209" s="35"/>
      <c r="O209" s="35"/>
      <c r="P209" s="35"/>
      <c r="Q209" s="36" t="str">
        <f t="shared" si="74"/>
        <v>--</v>
      </c>
      <c r="R209" s="73"/>
    </row>
    <row r="210" spans="1:18" ht="15" customHeight="1">
      <c r="A210" s="228"/>
      <c r="B210" s="74" t="s">
        <v>352</v>
      </c>
      <c r="C210" s="73"/>
      <c r="D210" s="35"/>
      <c r="E210" s="35"/>
      <c r="F210" s="35"/>
      <c r="G210" s="36" t="str">
        <f t="shared" si="72"/>
        <v>--</v>
      </c>
      <c r="H210" s="39"/>
      <c r="I210" s="35"/>
      <c r="J210" s="35"/>
      <c r="K210" s="35"/>
      <c r="L210" s="36" t="str">
        <f t="shared" si="73"/>
        <v>--</v>
      </c>
      <c r="M210" s="39"/>
      <c r="N210" s="35"/>
      <c r="O210" s="35"/>
      <c r="P210" s="35"/>
      <c r="Q210" s="36" t="str">
        <f t="shared" si="74"/>
        <v>--</v>
      </c>
      <c r="R210" s="73"/>
    </row>
    <row r="211" spans="1:18" ht="15" customHeight="1">
      <c r="A211" s="228"/>
      <c r="B211" s="74" t="s">
        <v>353</v>
      </c>
      <c r="C211" s="73"/>
      <c r="D211" s="35"/>
      <c r="E211" s="35"/>
      <c r="F211" s="35"/>
      <c r="G211" s="36" t="str">
        <f t="shared" si="72"/>
        <v>--</v>
      </c>
      <c r="H211" s="39"/>
      <c r="I211" s="35"/>
      <c r="J211" s="35"/>
      <c r="K211" s="35"/>
      <c r="L211" s="36" t="str">
        <f t="shared" si="73"/>
        <v>--</v>
      </c>
      <c r="M211" s="39"/>
      <c r="N211" s="35"/>
      <c r="O211" s="35"/>
      <c r="P211" s="35"/>
      <c r="Q211" s="36" t="str">
        <f t="shared" si="74"/>
        <v>--</v>
      </c>
      <c r="R211" s="73"/>
    </row>
    <row r="212" spans="1:18" ht="15" customHeight="1">
      <c r="A212" s="228"/>
      <c r="B212" s="74" t="s">
        <v>354</v>
      </c>
      <c r="C212" s="73"/>
      <c r="D212" s="35"/>
      <c r="E212" s="35"/>
      <c r="F212" s="35"/>
      <c r="G212" s="36" t="str">
        <f t="shared" si="72"/>
        <v>--</v>
      </c>
      <c r="H212" s="39"/>
      <c r="I212" s="35"/>
      <c r="J212" s="35"/>
      <c r="K212" s="35"/>
      <c r="L212" s="36" t="str">
        <f t="shared" si="73"/>
        <v>--</v>
      </c>
      <c r="M212" s="39"/>
      <c r="N212" s="35"/>
      <c r="O212" s="35"/>
      <c r="P212" s="35"/>
      <c r="Q212" s="36" t="str">
        <f t="shared" si="74"/>
        <v>--</v>
      </c>
      <c r="R212" s="73"/>
    </row>
    <row r="213" spans="1:18" ht="15" customHeight="1">
      <c r="A213" s="228"/>
      <c r="B213" s="74" t="s">
        <v>355</v>
      </c>
      <c r="C213" s="73"/>
      <c r="D213" s="35"/>
      <c r="E213" s="35"/>
      <c r="F213" s="35"/>
      <c r="G213" s="36" t="str">
        <f t="shared" si="72"/>
        <v>--</v>
      </c>
      <c r="H213" s="39"/>
      <c r="I213" s="35"/>
      <c r="J213" s="35"/>
      <c r="K213" s="35"/>
      <c r="L213" s="36" t="str">
        <f t="shared" si="73"/>
        <v>--</v>
      </c>
      <c r="M213" s="39"/>
      <c r="N213" s="35"/>
      <c r="O213" s="35"/>
      <c r="P213" s="35"/>
      <c r="Q213" s="36" t="str">
        <f t="shared" si="74"/>
        <v>--</v>
      </c>
      <c r="R213" s="73"/>
    </row>
    <row r="214" spans="1:18" ht="15" customHeight="1">
      <c r="A214" s="229"/>
      <c r="B214" s="77" t="s">
        <v>356</v>
      </c>
      <c r="C214" s="73"/>
      <c r="D214" s="35"/>
      <c r="E214" s="35"/>
      <c r="F214" s="35"/>
      <c r="G214" s="36" t="str">
        <f t="shared" si="72"/>
        <v>--</v>
      </c>
      <c r="H214" s="39"/>
      <c r="I214" s="35"/>
      <c r="J214" s="35"/>
      <c r="K214" s="35"/>
      <c r="L214" s="36" t="str">
        <f t="shared" si="73"/>
        <v>--</v>
      </c>
      <c r="M214" s="39"/>
      <c r="N214" s="35"/>
      <c r="O214" s="35"/>
      <c r="P214" s="35"/>
      <c r="Q214" s="36" t="str">
        <f t="shared" si="74"/>
        <v>--</v>
      </c>
      <c r="R214" s="73"/>
    </row>
    <row r="215" spans="1:18" ht="7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73"/>
    </row>
    <row r="223" spans="1:18">
      <c r="A223" s="70"/>
    </row>
    <row r="224" spans="1:18">
      <c r="A224" s="70"/>
    </row>
    <row r="225" spans="1:1">
      <c r="A225" s="70"/>
    </row>
    <row r="226" spans="1:1">
      <c r="A226" s="70"/>
    </row>
    <row r="227" spans="1:1">
      <c r="A227" s="70"/>
    </row>
    <row r="228" spans="1:1">
      <c r="A228" s="70"/>
    </row>
    <row r="229" spans="1:1">
      <c r="A229" s="70"/>
    </row>
    <row r="230" spans="1:1">
      <c r="A230" s="70"/>
    </row>
    <row r="231" spans="1:1">
      <c r="A231" s="70"/>
    </row>
    <row r="232" spans="1:1">
      <c r="A232" s="70"/>
    </row>
    <row r="233" spans="1:1">
      <c r="A233" s="70"/>
    </row>
    <row r="234" spans="1:1">
      <c r="A234" s="70"/>
    </row>
    <row r="235" spans="1:1">
      <c r="A235" s="70"/>
    </row>
    <row r="236" spans="1:1">
      <c r="A236" s="70"/>
    </row>
    <row r="237" spans="1:1">
      <c r="A237" s="70"/>
    </row>
    <row r="238" spans="1:1">
      <c r="A238" s="70"/>
    </row>
    <row r="239" spans="1:1">
      <c r="A239" s="70"/>
    </row>
    <row r="240" spans="1:1">
      <c r="A240" s="70"/>
    </row>
    <row r="241" spans="1:1">
      <c r="A241" s="70"/>
    </row>
    <row r="242" spans="1:1">
      <c r="A242" s="70"/>
    </row>
    <row r="243" spans="1:1">
      <c r="A243" s="70"/>
    </row>
    <row r="244" spans="1:1">
      <c r="A244" s="70"/>
    </row>
    <row r="245" spans="1:1">
      <c r="A245" s="70"/>
    </row>
    <row r="246" spans="1:1">
      <c r="A246" s="70"/>
    </row>
    <row r="247" spans="1:1">
      <c r="A247" s="70"/>
    </row>
    <row r="248" spans="1:1">
      <c r="A248" s="70"/>
    </row>
    <row r="249" spans="1:1">
      <c r="A249" s="70"/>
    </row>
    <row r="250" spans="1:1">
      <c r="A250" s="70"/>
    </row>
    <row r="251" spans="1:1">
      <c r="A251" s="70"/>
    </row>
    <row r="252" spans="1:1">
      <c r="A252" s="70"/>
    </row>
    <row r="253" spans="1:1">
      <c r="A253" s="70"/>
    </row>
    <row r="254" spans="1:1">
      <c r="A254" s="70"/>
    </row>
    <row r="255" spans="1:1">
      <c r="A255" s="70"/>
    </row>
    <row r="256" spans="1:1">
      <c r="A256" s="70"/>
    </row>
    <row r="257" spans="1:1">
      <c r="A257" s="70"/>
    </row>
    <row r="258" spans="1:1">
      <c r="A258" s="70"/>
    </row>
    <row r="259" spans="1:1">
      <c r="A259" s="70"/>
    </row>
    <row r="260" spans="1:1">
      <c r="A260" s="70"/>
    </row>
    <row r="261" spans="1:1">
      <c r="A261" s="70"/>
    </row>
    <row r="262" spans="1:1">
      <c r="A262" s="70"/>
    </row>
    <row r="263" spans="1:1">
      <c r="A263" s="70"/>
    </row>
    <row r="264" spans="1:1">
      <c r="A264" s="70"/>
    </row>
    <row r="265" spans="1:1">
      <c r="A265" s="70"/>
    </row>
    <row r="266" spans="1:1">
      <c r="A266" s="70"/>
    </row>
    <row r="267" spans="1:1">
      <c r="A267" s="70"/>
    </row>
    <row r="268" spans="1:1">
      <c r="A268" s="70"/>
    </row>
    <row r="269" spans="1:1">
      <c r="A269" s="70"/>
    </row>
    <row r="270" spans="1:1">
      <c r="A270" s="70"/>
    </row>
    <row r="271" spans="1:1">
      <c r="A271" s="70"/>
    </row>
    <row r="272" spans="1:1">
      <c r="A272" s="70"/>
    </row>
    <row r="273" spans="1:1">
      <c r="A273" s="70"/>
    </row>
    <row r="274" spans="1:1">
      <c r="A274" s="70"/>
    </row>
    <row r="275" spans="1:1">
      <c r="A275" s="70"/>
    </row>
    <row r="276" spans="1:1">
      <c r="A276" s="70"/>
    </row>
    <row r="277" spans="1:1">
      <c r="A277" s="70"/>
    </row>
    <row r="278" spans="1:1">
      <c r="A278" s="70"/>
    </row>
    <row r="279" spans="1:1">
      <c r="A279" s="70"/>
    </row>
    <row r="280" spans="1:1">
      <c r="A280" s="70"/>
    </row>
    <row r="281" spans="1:1">
      <c r="A281" s="70"/>
    </row>
    <row r="282" spans="1:1">
      <c r="A282" s="70"/>
    </row>
    <row r="283" spans="1:1">
      <c r="A283" s="70"/>
    </row>
    <row r="284" spans="1:1">
      <c r="A284" s="70"/>
    </row>
    <row r="285" spans="1:1">
      <c r="A285" s="70"/>
    </row>
    <row r="286" spans="1:1">
      <c r="A286" s="70"/>
    </row>
    <row r="287" spans="1:1">
      <c r="A287" s="70"/>
    </row>
    <row r="288" spans="1:1">
      <c r="A288" s="70"/>
    </row>
    <row r="289" spans="1:1">
      <c r="A289" s="70"/>
    </row>
    <row r="290" spans="1:1">
      <c r="A290" s="70"/>
    </row>
    <row r="291" spans="1:1">
      <c r="A291" s="70"/>
    </row>
    <row r="292" spans="1:1">
      <c r="A292" s="70"/>
    </row>
    <row r="293" spans="1:1">
      <c r="A293" s="70"/>
    </row>
    <row r="294" spans="1:1">
      <c r="A294" s="70"/>
    </row>
    <row r="295" spans="1:1">
      <c r="A295" s="70"/>
    </row>
    <row r="296" spans="1:1">
      <c r="A296" s="70"/>
    </row>
    <row r="297" spans="1:1">
      <c r="A297" s="70"/>
    </row>
    <row r="298" spans="1:1">
      <c r="A298" s="70"/>
    </row>
    <row r="299" spans="1:1">
      <c r="A299" s="70"/>
    </row>
    <row r="300" spans="1:1">
      <c r="A300" s="70"/>
    </row>
    <row r="301" spans="1:1">
      <c r="A301" s="70"/>
    </row>
    <row r="302" spans="1:1">
      <c r="A302" s="70"/>
    </row>
    <row r="303" spans="1:1">
      <c r="A303" s="70"/>
    </row>
    <row r="304" spans="1:1">
      <c r="A304" s="70"/>
    </row>
    <row r="305" spans="1:1">
      <c r="A305" s="70"/>
    </row>
    <row r="306" spans="1:1">
      <c r="A306" s="70"/>
    </row>
    <row r="307" spans="1:1">
      <c r="A307" s="70"/>
    </row>
    <row r="308" spans="1:1">
      <c r="A308" s="70"/>
    </row>
    <row r="309" spans="1:1">
      <c r="A309" s="70"/>
    </row>
    <row r="310" spans="1:1">
      <c r="A310" s="70"/>
    </row>
    <row r="311" spans="1:1">
      <c r="A311" s="70"/>
    </row>
    <row r="312" spans="1:1">
      <c r="A312" s="70"/>
    </row>
    <row r="313" spans="1:1">
      <c r="A313" s="70"/>
    </row>
    <row r="314" spans="1:1">
      <c r="A314" s="70"/>
    </row>
    <row r="315" spans="1:1">
      <c r="A315" s="70"/>
    </row>
    <row r="316" spans="1:1">
      <c r="A316" s="70"/>
    </row>
    <row r="317" spans="1:1">
      <c r="A317" s="70"/>
    </row>
    <row r="318" spans="1:1">
      <c r="A318" s="70"/>
    </row>
    <row r="319" spans="1:1">
      <c r="A319" s="70"/>
    </row>
    <row r="320" spans="1:1">
      <c r="A320" s="70"/>
    </row>
    <row r="321" spans="1:1">
      <c r="A321" s="70"/>
    </row>
    <row r="322" spans="1:1">
      <c r="A322" s="70"/>
    </row>
    <row r="323" spans="1:1">
      <c r="A323" s="70"/>
    </row>
    <row r="324" spans="1:1">
      <c r="A324" s="70"/>
    </row>
    <row r="325" spans="1:1">
      <c r="A325" s="70"/>
    </row>
    <row r="326" spans="1:1">
      <c r="A326" s="70"/>
    </row>
    <row r="327" spans="1:1">
      <c r="A327" s="70"/>
    </row>
    <row r="328" spans="1:1">
      <c r="A328" s="70"/>
    </row>
    <row r="329" spans="1:1">
      <c r="A329" s="70"/>
    </row>
    <row r="330" spans="1:1">
      <c r="A330" s="70"/>
    </row>
    <row r="331" spans="1:1">
      <c r="A331" s="70"/>
    </row>
    <row r="332" spans="1:1">
      <c r="A332" s="70"/>
    </row>
    <row r="333" spans="1:1">
      <c r="A333" s="70"/>
    </row>
    <row r="334" spans="1:1">
      <c r="A334" s="70"/>
    </row>
    <row r="335" spans="1:1">
      <c r="A335" s="70"/>
    </row>
    <row r="336" spans="1:1">
      <c r="A336" s="70"/>
    </row>
    <row r="337" spans="1:1">
      <c r="A337" s="70"/>
    </row>
    <row r="338" spans="1:1">
      <c r="A338" s="70"/>
    </row>
    <row r="339" spans="1:1">
      <c r="A339" s="70"/>
    </row>
    <row r="340" spans="1:1">
      <c r="A340" s="70"/>
    </row>
    <row r="341" spans="1:1">
      <c r="A341" s="70"/>
    </row>
    <row r="342" spans="1:1">
      <c r="A342" s="70"/>
    </row>
    <row r="343" spans="1:1">
      <c r="A343" s="70"/>
    </row>
    <row r="344" spans="1:1">
      <c r="A344" s="70"/>
    </row>
    <row r="345" spans="1:1">
      <c r="A345" s="70"/>
    </row>
    <row r="346" spans="1:1">
      <c r="A346" s="70"/>
    </row>
    <row r="347" spans="1:1">
      <c r="A347" s="70"/>
    </row>
    <row r="348" spans="1:1">
      <c r="A348" s="70"/>
    </row>
    <row r="349" spans="1:1">
      <c r="A349" s="70"/>
    </row>
    <row r="350" spans="1:1">
      <c r="A350" s="70"/>
    </row>
    <row r="351" spans="1:1">
      <c r="A351" s="70"/>
    </row>
    <row r="352" spans="1:1">
      <c r="A352" s="70"/>
    </row>
    <row r="353" spans="1:1">
      <c r="A353" s="70"/>
    </row>
    <row r="354" spans="1:1">
      <c r="A354" s="70"/>
    </row>
    <row r="355" spans="1:1">
      <c r="A355" s="70"/>
    </row>
    <row r="356" spans="1:1">
      <c r="A356" s="70"/>
    </row>
    <row r="357" spans="1:1">
      <c r="A357" s="70"/>
    </row>
    <row r="358" spans="1:1">
      <c r="A358" s="70"/>
    </row>
    <row r="359" spans="1:1">
      <c r="A359" s="70"/>
    </row>
    <row r="360" spans="1:1">
      <c r="A360" s="70"/>
    </row>
    <row r="361" spans="1:1">
      <c r="A361" s="70"/>
    </row>
    <row r="362" spans="1:1">
      <c r="A362" s="70"/>
    </row>
    <row r="363" spans="1:1">
      <c r="A363" s="70"/>
    </row>
    <row r="364" spans="1:1">
      <c r="A364" s="70"/>
    </row>
    <row r="365" spans="1:1">
      <c r="A365" s="70"/>
    </row>
    <row r="366" spans="1:1">
      <c r="A366" s="70"/>
    </row>
    <row r="367" spans="1:1">
      <c r="A367" s="70"/>
    </row>
    <row r="368" spans="1:1">
      <c r="A368" s="70"/>
    </row>
    <row r="369" spans="1:1">
      <c r="A369" s="70"/>
    </row>
    <row r="370" spans="1:1">
      <c r="A370" s="70"/>
    </row>
    <row r="371" spans="1:1">
      <c r="A371" s="70"/>
    </row>
    <row r="372" spans="1:1">
      <c r="A372" s="70"/>
    </row>
    <row r="373" spans="1:1">
      <c r="A373" s="70"/>
    </row>
    <row r="374" spans="1:1">
      <c r="A374" s="70"/>
    </row>
    <row r="375" spans="1:1">
      <c r="A375" s="70"/>
    </row>
    <row r="376" spans="1:1">
      <c r="A376" s="70"/>
    </row>
    <row r="377" spans="1:1">
      <c r="A377" s="70"/>
    </row>
    <row r="378" spans="1:1">
      <c r="A378" s="70"/>
    </row>
    <row r="379" spans="1:1">
      <c r="A379" s="70"/>
    </row>
    <row r="380" spans="1:1">
      <c r="A380" s="70"/>
    </row>
    <row r="381" spans="1:1">
      <c r="A381" s="70"/>
    </row>
    <row r="382" spans="1:1">
      <c r="A382" s="70"/>
    </row>
    <row r="383" spans="1:1">
      <c r="A383" s="70"/>
    </row>
    <row r="384" spans="1:1">
      <c r="A384" s="70"/>
    </row>
    <row r="385" spans="1:1">
      <c r="A385" s="70"/>
    </row>
    <row r="386" spans="1:1">
      <c r="A386" s="70"/>
    </row>
    <row r="387" spans="1:1">
      <c r="A387" s="70"/>
    </row>
    <row r="388" spans="1:1">
      <c r="A388" s="70"/>
    </row>
    <row r="389" spans="1:1">
      <c r="A389" s="70"/>
    </row>
    <row r="390" spans="1:1">
      <c r="A390" s="70"/>
    </row>
    <row r="391" spans="1:1">
      <c r="A391" s="70"/>
    </row>
    <row r="392" spans="1:1">
      <c r="A392" s="70"/>
    </row>
    <row r="393" spans="1:1">
      <c r="A393" s="70"/>
    </row>
    <row r="394" spans="1:1">
      <c r="A394" s="70"/>
    </row>
    <row r="395" spans="1:1">
      <c r="A395" s="70"/>
    </row>
    <row r="396" spans="1:1">
      <c r="A396" s="70"/>
    </row>
    <row r="397" spans="1:1">
      <c r="A397" s="70"/>
    </row>
    <row r="398" spans="1:1">
      <c r="A398" s="70"/>
    </row>
    <row r="399" spans="1:1">
      <c r="A399" s="70"/>
    </row>
    <row r="400" spans="1:1">
      <c r="A400" s="70"/>
    </row>
    <row r="401" spans="1:1">
      <c r="A401" s="70"/>
    </row>
    <row r="402" spans="1:1">
      <c r="A402" s="70"/>
    </row>
    <row r="403" spans="1:1">
      <c r="A403" s="70"/>
    </row>
    <row r="404" spans="1:1">
      <c r="A404" s="70"/>
    </row>
    <row r="405" spans="1:1">
      <c r="A405" s="70"/>
    </row>
    <row r="406" spans="1:1">
      <c r="A406" s="70"/>
    </row>
    <row r="407" spans="1:1">
      <c r="A407" s="70"/>
    </row>
    <row r="408" spans="1:1">
      <c r="A408" s="70"/>
    </row>
    <row r="409" spans="1:1">
      <c r="A409" s="70"/>
    </row>
    <row r="410" spans="1:1">
      <c r="A410" s="70"/>
    </row>
    <row r="411" spans="1:1">
      <c r="A411" s="70"/>
    </row>
    <row r="412" spans="1:1">
      <c r="A412" s="70"/>
    </row>
    <row r="413" spans="1:1">
      <c r="A413" s="70"/>
    </row>
    <row r="414" spans="1:1">
      <c r="A414" s="70"/>
    </row>
    <row r="415" spans="1:1">
      <c r="A415" s="70"/>
    </row>
    <row r="416" spans="1:1">
      <c r="A416" s="70"/>
    </row>
    <row r="417" spans="1:1">
      <c r="A417" s="70"/>
    </row>
    <row r="418" spans="1:1">
      <c r="A418" s="70"/>
    </row>
    <row r="419" spans="1:1">
      <c r="A419" s="70"/>
    </row>
    <row r="420" spans="1:1">
      <c r="A420" s="70"/>
    </row>
    <row r="421" spans="1:1">
      <c r="A421" s="70"/>
    </row>
    <row r="422" spans="1:1">
      <c r="A422" s="70"/>
    </row>
    <row r="423" spans="1:1">
      <c r="A423" s="70"/>
    </row>
    <row r="424" spans="1:1">
      <c r="A424" s="70"/>
    </row>
    <row r="425" spans="1:1">
      <c r="A425" s="70"/>
    </row>
    <row r="426" spans="1:1">
      <c r="A426" s="70"/>
    </row>
    <row r="427" spans="1:1">
      <c r="A427" s="70"/>
    </row>
    <row r="428" spans="1:1">
      <c r="A428" s="70"/>
    </row>
    <row r="429" spans="1:1">
      <c r="A429" s="70"/>
    </row>
    <row r="430" spans="1:1">
      <c r="A430" s="70"/>
    </row>
    <row r="431" spans="1:1">
      <c r="A431" s="70"/>
    </row>
    <row r="432" spans="1:1">
      <c r="A432" s="70"/>
    </row>
    <row r="433" spans="1:1">
      <c r="A433" s="70"/>
    </row>
    <row r="434" spans="1:1">
      <c r="A434" s="70"/>
    </row>
    <row r="435" spans="1:1">
      <c r="A435" s="70"/>
    </row>
    <row r="436" spans="1:1">
      <c r="A436" s="70"/>
    </row>
    <row r="437" spans="1:1">
      <c r="A437" s="70"/>
    </row>
    <row r="438" spans="1:1">
      <c r="A438" s="70"/>
    </row>
    <row r="439" spans="1:1">
      <c r="A439" s="70"/>
    </row>
    <row r="440" spans="1:1">
      <c r="A440" s="70"/>
    </row>
    <row r="441" spans="1:1">
      <c r="A441" s="70"/>
    </row>
    <row r="442" spans="1:1">
      <c r="A442" s="70"/>
    </row>
    <row r="443" spans="1:1">
      <c r="A443" s="70"/>
    </row>
    <row r="444" spans="1:1">
      <c r="A444" s="70"/>
    </row>
    <row r="445" spans="1:1">
      <c r="A445" s="70"/>
    </row>
    <row r="446" spans="1:1">
      <c r="A446" s="70"/>
    </row>
    <row r="447" spans="1:1">
      <c r="A447" s="70"/>
    </row>
    <row r="448" spans="1:1">
      <c r="A448" s="70"/>
    </row>
    <row r="449" spans="1:1">
      <c r="A449" s="70"/>
    </row>
    <row r="450" spans="1:1">
      <c r="A450" s="70"/>
    </row>
    <row r="451" spans="1:1">
      <c r="A451" s="70"/>
    </row>
  </sheetData>
  <mergeCells count="56">
    <mergeCell ref="A208:A214"/>
    <mergeCell ref="A172:A174"/>
    <mergeCell ref="A176:A182"/>
    <mergeCell ref="A184:A190"/>
    <mergeCell ref="A192:A198"/>
    <mergeCell ref="A200:A206"/>
    <mergeCell ref="A156:A158"/>
    <mergeCell ref="A159:A161"/>
    <mergeCell ref="A163:A165"/>
    <mergeCell ref="A166:A168"/>
    <mergeCell ref="A169:A171"/>
    <mergeCell ref="A143:A144"/>
    <mergeCell ref="A145:A146"/>
    <mergeCell ref="A147:A148"/>
    <mergeCell ref="A150:A152"/>
    <mergeCell ref="A153:A155"/>
    <mergeCell ref="A132:A133"/>
    <mergeCell ref="A134:A135"/>
    <mergeCell ref="A136:A137"/>
    <mergeCell ref="A138:A139"/>
    <mergeCell ref="A141:A142"/>
    <mergeCell ref="A110:A112"/>
    <mergeCell ref="A114:A116"/>
    <mergeCell ref="A117:A119"/>
    <mergeCell ref="A120:A122"/>
    <mergeCell ref="A123:A125"/>
    <mergeCell ref="A94:A96"/>
    <mergeCell ref="A97:A99"/>
    <mergeCell ref="A101:A103"/>
    <mergeCell ref="A104:A106"/>
    <mergeCell ref="A107:A109"/>
    <mergeCell ref="A1:B1"/>
    <mergeCell ref="D1:Q1"/>
    <mergeCell ref="A2:B2"/>
    <mergeCell ref="D2:F2"/>
    <mergeCell ref="I2:K2"/>
    <mergeCell ref="N2:P2"/>
    <mergeCell ref="A3:A6"/>
    <mergeCell ref="A8:A9"/>
    <mergeCell ref="A11:A13"/>
    <mergeCell ref="A17:A18"/>
    <mergeCell ref="A20:A21"/>
    <mergeCell ref="A23:A27"/>
    <mergeCell ref="A29:A36"/>
    <mergeCell ref="A38:A45"/>
    <mergeCell ref="A47:A58"/>
    <mergeCell ref="A62:A64"/>
    <mergeCell ref="A81:A83"/>
    <mergeCell ref="A84:A86"/>
    <mergeCell ref="A88:A90"/>
    <mergeCell ref="A91:A93"/>
    <mergeCell ref="A65:A67"/>
    <mergeCell ref="A68:A70"/>
    <mergeCell ref="A71:A73"/>
    <mergeCell ref="A75:A77"/>
    <mergeCell ref="A78:A80"/>
  </mergeCells>
  <phoneticPr fontId="22" type="noConversion"/>
  <hyperlinks>
    <hyperlink ref="D3" r:id="rId1" display="SystemPerformance\UMA_FireStrike_S_AC_1.jpg" xr:uid="{695CE04D-5A3F-4286-8F41-A4A186509E3C}"/>
    <hyperlink ref="E3" r:id="rId2" display="SystemPerformance\UMA_FireStrike_S_AC_2.jpg" xr:uid="{491B2553-4614-45A0-8F31-27A499022CE9}"/>
    <hyperlink ref="F3" r:id="rId3" display="SystemPerformance\UMA_FireStrike_S_AC_3.jpg" xr:uid="{A26F648E-AC4E-433B-95AD-3555F4467A13}"/>
    <hyperlink ref="D8" r:id="rId4" display="SystemPerformance\UMA_PortRoyal_S_AC_1.jpg" xr:uid="{69629C80-D12E-4F0C-87B3-ECC37AB284F1}"/>
    <hyperlink ref="E8" r:id="rId5" display="SystemPerformance\UMA_PortRoyal_S_AC_2.jpg" xr:uid="{3044D9C1-6B87-4EBC-BA05-4E8065B787EE}"/>
    <hyperlink ref="F8" r:id="rId6" display="SystemPerformance\UMA_PortRoyal_S_AC_3.jpg" xr:uid="{F0438F50-348A-48EF-8769-A184171C86C8}"/>
    <hyperlink ref="D11" r:id="rId7" display="SystemPerformance\UMA_TimeSpy_S_AC_1.jpg" xr:uid="{4CEE8228-9885-49EF-B71C-8A57DFA5160D}"/>
    <hyperlink ref="E11" r:id="rId8" display="SystemPerformance\UMA_TimeSpy_S_AC_2.jpg" xr:uid="{B1016611-5E3C-4BC7-B999-C54667BEA904}"/>
    <hyperlink ref="F11" r:id="rId9" display="SystemPerformance\UMA_TimeSpy_S_AC_3.jpg" xr:uid="{E331C98B-7EED-43AF-BCAF-D3C19EAF6C3A}"/>
    <hyperlink ref="D29" r:id="rId10" display="SystemPerformance\UMA_CDM_C_S_AC_1.jpg" xr:uid="{EC9D4618-399B-4CB8-B4F5-A4160DA662F6}"/>
    <hyperlink ref="E29" r:id="rId11" display="SystemPerformance\UMA_CDM_C_S_AC_2.jpg" xr:uid="{09B31465-C008-4B59-8C93-2AD5B0FCBAB2}"/>
    <hyperlink ref="F29" r:id="rId12" display="SystemPerformance\UMA_CDM_C_S_AC_3.jpg" xr:uid="{9419A86B-236C-4EEF-804F-9AAD3BF1ED91}"/>
    <hyperlink ref="D47" r:id="rId13" display="SystemPerformance\UMA_PCMark10_S_AC_1.jpg" xr:uid="{6446A0F9-DC05-49DC-BE96-27AEAD37DF3A}"/>
    <hyperlink ref="E47" r:id="rId14" display="SystemPerformance\UMA_PCMark10_S_AC_2.jpg" xr:uid="{14710999-1136-4272-A0B4-793226E65263}"/>
    <hyperlink ref="I3" r:id="rId15" display="SystemPerformance\UMA_FireStrike_P_AC_1.jpg" xr:uid="{DD857B30-DDE2-4049-B712-083DF25B7900}"/>
    <hyperlink ref="J3" r:id="rId16" display="SystemPerformance\UMA_FireStrike_P_AC_2.jpg" xr:uid="{B9CCEBD4-F29A-450F-A1E4-F04E6316AC24}"/>
    <hyperlink ref="K3" r:id="rId17" display="SystemPerformance\UMA_FireStrike_P_AC_3.jpg" xr:uid="{9D9827F8-A740-4624-BA15-E3CF0A21F9FC}"/>
    <hyperlink ref="I11" r:id="rId18" display="SystemPerformance\UMA_TimeSpy_P_AC_1.jpg" xr:uid="{20D9FBA3-AB39-4EEC-9E67-22CE73AED19B}"/>
    <hyperlink ref="J11" r:id="rId19" display="SystemPerformance\UMA_TimeSpy_P_AC_2.jpg" xr:uid="{465330ED-E4A2-4C54-9376-5D45AC6AEE7F}"/>
    <hyperlink ref="K11" r:id="rId20" display="SystemPerformance\UMA_TimeSpy_P_AC_3.jpg" xr:uid="{4934D67F-9E3D-4E61-8250-2F2DD5924CD1}"/>
    <hyperlink ref="I29" r:id="rId21" display="SystemPerformance\UMA_CDM_C_P_AC_1.jpg" xr:uid="{E273D850-2D64-466B-B442-A3B03E7F7229}"/>
    <hyperlink ref="J29" r:id="rId22" display="SystemPerformance\UMA_CDM_C_P_AC_2.jpg" xr:uid="{4EE25C58-5755-4E21-B38A-FA504644DB4B}"/>
    <hyperlink ref="K29" r:id="rId23" display="SystemPerformance\UMA_CDM_C_P_AC_3.jpg" xr:uid="{049C9308-F3EF-4581-8119-E3EA94E51587}"/>
    <hyperlink ref="I47" r:id="rId24" display="SystemPerformance\UMA_PCMark10_P_AC_1.jpg" xr:uid="{44ABA685-54B7-4046-A06B-39B2AFE38252}"/>
    <hyperlink ref="J47" r:id="rId25" display="SystemPerformance\UMA_PCMark10_P_AC_2.jpg" xr:uid="{E076F318-BFF3-4F3A-BF77-895A985DFA8D}"/>
    <hyperlink ref="K47" r:id="rId26" display="SystemPerformance\UMA_PCMark10_P_AC_3.jpg" xr:uid="{E791B72A-82E1-457C-A550-3960B9EADA3D}"/>
    <hyperlink ref="I8" r:id="rId27" display="SystemPerformance\UMA_PortRoyal_T_AC_1.jpg" xr:uid="{C65B687C-625E-40E1-AC5B-45466B5C761F}"/>
    <hyperlink ref="J8" r:id="rId28" display="SystemPerformance\UMA_PortRoyal_T_AC_2.jpg" xr:uid="{F79CFDF6-015B-48D4-8950-37BDD54F86C2}"/>
    <hyperlink ref="K8" r:id="rId29" display="SystemPerformance\UMA_PortRoyal_T_AC_3.jpg" xr:uid="{E1FBFA72-FB5A-4922-968C-C942B049A3F2}"/>
    <hyperlink ref="P8" r:id="rId30" display="SystemPerformance\UMA_PortRoyal_P_AC_3.jpg" xr:uid="{F824C60A-ED97-43E5-A4C7-F9E96AC93D8D}"/>
    <hyperlink ref="O8" r:id="rId31" display="SystemPerformance\UMA_PortRoyal_P_AC_2.jpg" xr:uid="{380E6B96-C5A3-422C-85CD-BDBD139B04EB}"/>
    <hyperlink ref="N8" r:id="rId32" display="SystemPerformance\UMA_PortRoyal_P_AC_1.jpg" xr:uid="{75BD77BE-794E-4544-A9B3-C34043EFF511}"/>
    <hyperlink ref="P47" r:id="rId33" display="SystemPerformance\UMA_PCMark10_T_AC_3.jpg" xr:uid="{BF092C0F-7AC9-4C4E-8AAB-E8D34E14393D}"/>
    <hyperlink ref="O47" r:id="rId34" display="SystemPerformance\UMA_PCMark10_T_AC_2.jpg" xr:uid="{A069D9BF-6AC0-429C-A3D6-7CC26CD85169}"/>
    <hyperlink ref="N47" r:id="rId35" display="SystemPerformance\UMA_PCMark10_T_AC_1.jpg" xr:uid="{4C47FE73-EFC5-482C-9036-DA98AD4A7346}"/>
    <hyperlink ref="P29" r:id="rId36" display="SystemPerformance\UMA_CDM_C_T_AC_3.jpg" xr:uid="{0D88773C-BF9B-42B5-B746-78CD458DB206}"/>
    <hyperlink ref="O29" r:id="rId37" display="SystemPerformance\UMA_CDM_C_T_AC_2.jpg" xr:uid="{6D3F5E3A-454F-4ED5-A6A7-6CA7DB67DE2E}"/>
    <hyperlink ref="N29" r:id="rId38" display="SystemPerformance\UMA_CDM_C_T_AC_1.jpg" xr:uid="{A7C851C5-7EF3-4681-A65F-9015758A455A}"/>
    <hyperlink ref="P11" r:id="rId39" display="SystemPerformance\UMA_TimeSpy_T_AC_3.jpg" xr:uid="{8DFC77E9-0986-4CBF-955B-910331DD1D09}"/>
    <hyperlink ref="O11" r:id="rId40" display="SystemPerformance\UMA_TimeSpy_T_AC_2.jpg" xr:uid="{FCA6D3EC-AE45-46D6-8CD4-70A718FC035B}"/>
    <hyperlink ref="N11" r:id="rId41" display="SystemPerformance\UMA_TimeSpy_T_AC_1.jpg" xr:uid="{BF82E9E0-29DA-4956-A02D-F11046767AC5}"/>
    <hyperlink ref="P3" r:id="rId42" display="SystemPerformance\UMA_FireStrike_T_AC_3.jpg" xr:uid="{E28915EA-99D7-4A21-932C-92C5FB261BE3}"/>
    <hyperlink ref="O3" r:id="rId43" display="SystemPerformance\UMA_FireStrike_T_AC_2.jpg" xr:uid="{94C4F82E-DAB2-464B-B31B-0B75FC681A24}"/>
    <hyperlink ref="N3" r:id="rId44" display="SystemPerformance\UMA_FireStrike_T_AC_1.jpg" xr:uid="{80CB998E-27AC-462E-ABB4-6CB28B288789}"/>
  </hyperlinks>
  <pageMargins left="0.7" right="0.7" top="0.75" bottom="0.75" header="0" footer="0"/>
  <pageSetup orientation="portrait" r:id="rId45"/>
  <legacyDrawing r:id="rId4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62"/>
  <sheetViews>
    <sheetView zoomScale="80" zoomScaleNormal="80" workbookViewId="0">
      <selection activeCell="K28" sqref="K28"/>
    </sheetView>
  </sheetViews>
  <sheetFormatPr defaultColWidth="13.8984375" defaultRowHeight="15" customHeight="1"/>
  <cols>
    <col min="1" max="1" width="30.59765625" style="24" customWidth="1"/>
    <col min="2" max="2" width="35.59765625" style="24" customWidth="1"/>
    <col min="3" max="3" width="1" style="24" customWidth="1"/>
    <col min="4" max="4" width="10.09765625" style="24" customWidth="1"/>
    <col min="5" max="7" width="9.59765625" style="24" customWidth="1"/>
    <col min="8" max="8" width="1" style="24" customWidth="1"/>
    <col min="9" max="12" width="9.59765625" style="24" customWidth="1"/>
    <col min="13" max="13" width="1" style="24" customWidth="1"/>
    <col min="14" max="17" width="9.59765625" style="24" customWidth="1"/>
    <col min="18" max="18" width="1" style="24" customWidth="1"/>
    <col min="19" max="20" width="7.59765625" style="24" customWidth="1"/>
    <col min="21" max="21" width="42.09765625" style="24" customWidth="1"/>
    <col min="22" max="22" width="7.59765625" style="24" customWidth="1"/>
    <col min="23" max="29" width="13.8984375" style="24" customWidth="1"/>
    <col min="30" max="30" width="29.59765625" style="24" customWidth="1"/>
    <col min="31" max="31" width="27.09765625" style="24" customWidth="1"/>
    <col min="32" max="36" width="13.8984375" style="24"/>
    <col min="37" max="37" width="19.5" style="24" customWidth="1"/>
    <col min="38" max="16384" width="13.8984375" style="24"/>
  </cols>
  <sheetData>
    <row r="1" spans="1:37" ht="36" customHeight="1">
      <c r="A1" s="232" t="s">
        <v>211</v>
      </c>
      <c r="B1" s="232"/>
      <c r="C1" s="25"/>
      <c r="D1" s="233" t="s">
        <v>361</v>
      </c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6"/>
      <c r="X1" s="27" t="s">
        <v>111</v>
      </c>
      <c r="Y1" s="27" t="s">
        <v>112</v>
      </c>
      <c r="Z1" s="27" t="s">
        <v>113</v>
      </c>
      <c r="AA1" s="27" t="s">
        <v>114</v>
      </c>
      <c r="AB1" s="27" t="s">
        <v>115</v>
      </c>
      <c r="AC1" s="27" t="s">
        <v>116</v>
      </c>
      <c r="AD1" s="27" t="s">
        <v>212</v>
      </c>
      <c r="AE1" s="28" t="s">
        <v>218</v>
      </c>
      <c r="AF1" s="28" t="s">
        <v>219</v>
      </c>
      <c r="AG1" s="28" t="s">
        <v>362</v>
      </c>
      <c r="AH1" s="28" t="s">
        <v>222</v>
      </c>
      <c r="AI1" s="28" t="s">
        <v>363</v>
      </c>
      <c r="AJ1" s="28" t="s">
        <v>364</v>
      </c>
      <c r="AK1" s="28" t="s">
        <v>365</v>
      </c>
    </row>
    <row r="2" spans="1:37" ht="27.9" customHeight="1">
      <c r="A2" s="232" t="s">
        <v>249</v>
      </c>
      <c r="B2" s="232"/>
      <c r="C2" s="25"/>
      <c r="D2" s="232" t="s">
        <v>250</v>
      </c>
      <c r="E2" s="232"/>
      <c r="F2" s="232"/>
      <c r="G2" s="29" t="s">
        <v>251</v>
      </c>
      <c r="H2" s="25"/>
      <c r="I2" s="232" t="s">
        <v>106</v>
      </c>
      <c r="J2" s="232"/>
      <c r="K2" s="232"/>
      <c r="L2" s="29" t="s">
        <v>251</v>
      </c>
      <c r="M2" s="25"/>
      <c r="N2" s="232" t="s">
        <v>107</v>
      </c>
      <c r="O2" s="232"/>
      <c r="P2" s="232"/>
      <c r="Q2" s="29" t="s">
        <v>251</v>
      </c>
      <c r="R2" s="26"/>
      <c r="U2" s="30" t="s">
        <v>104</v>
      </c>
      <c r="X2" s="27"/>
      <c r="Y2" s="27"/>
      <c r="Z2" s="27"/>
      <c r="AA2" s="27"/>
      <c r="AB2" s="27"/>
      <c r="AC2" s="27" t="s">
        <v>250</v>
      </c>
      <c r="AD2" s="28" t="s">
        <v>366</v>
      </c>
      <c r="AE2" s="31" t="str">
        <f>G3</f>
        <v>--</v>
      </c>
      <c r="AF2" s="31" t="str">
        <f>G4</f>
        <v>--</v>
      </c>
      <c r="AG2" s="31" t="str">
        <f>G5</f>
        <v>--</v>
      </c>
      <c r="AH2" s="31" t="str">
        <f>G7</f>
        <v>--</v>
      </c>
      <c r="AI2" s="31" t="str">
        <f>G8</f>
        <v>--</v>
      </c>
      <c r="AJ2" s="31">
        <f>G10</f>
        <v>282.66666666666669</v>
      </c>
      <c r="AK2" s="31">
        <f>G14</f>
        <v>179.63333333333333</v>
      </c>
    </row>
    <row r="3" spans="1:37" ht="15" customHeight="1">
      <c r="A3" s="223" t="s">
        <v>268</v>
      </c>
      <c r="B3" s="33" t="s">
        <v>269</v>
      </c>
      <c r="C3" s="34"/>
      <c r="D3" s="35"/>
      <c r="E3" s="35"/>
      <c r="F3" s="35"/>
      <c r="G3" s="36" t="str">
        <f>IFERROR(AVERAGE(D3:F3),"--")</f>
        <v>--</v>
      </c>
      <c r="H3" s="37"/>
      <c r="I3" s="35"/>
      <c r="J3" s="35"/>
      <c r="K3" s="35"/>
      <c r="L3" s="36" t="str">
        <f>IFERROR(AVERAGE(I3:K3),"--")</f>
        <v>--</v>
      </c>
      <c r="M3" s="37"/>
      <c r="N3" s="35"/>
      <c r="O3" s="35"/>
      <c r="P3" s="35"/>
      <c r="Q3" s="36" t="str">
        <f>IFERROR(AVERAGE(N3:P3),"--")</f>
        <v>--</v>
      </c>
      <c r="R3" s="38"/>
    </row>
    <row r="4" spans="1:37" ht="15" customHeight="1">
      <c r="A4" s="223"/>
      <c r="B4" s="33" t="s">
        <v>255</v>
      </c>
      <c r="C4" s="34"/>
      <c r="D4" s="35"/>
      <c r="E4" s="35"/>
      <c r="F4" s="35"/>
      <c r="G4" s="36" t="str">
        <f>IFERROR(AVERAGE(D4:F4),"--")</f>
        <v>--</v>
      </c>
      <c r="H4" s="37"/>
      <c r="I4" s="35"/>
      <c r="J4" s="35"/>
      <c r="K4" s="35"/>
      <c r="L4" s="36" t="str">
        <f>IFERROR(AVERAGE(I4:K4),"--")</f>
        <v>--</v>
      </c>
      <c r="M4" s="37"/>
      <c r="N4" s="35"/>
      <c r="O4" s="35"/>
      <c r="P4" s="35"/>
      <c r="Q4" s="36" t="str">
        <f>IFERROR(AVERAGE(N4:P4),"--")</f>
        <v>--</v>
      </c>
      <c r="R4" s="38"/>
    </row>
    <row r="5" spans="1:37" ht="15" customHeight="1">
      <c r="A5" s="223"/>
      <c r="B5" s="33" t="s">
        <v>271</v>
      </c>
      <c r="C5" s="34"/>
      <c r="D5" s="35"/>
      <c r="E5" s="35"/>
      <c r="F5" s="35"/>
      <c r="G5" s="36" t="str">
        <f>IFERROR(AVERAGE(D5:F5),"--")</f>
        <v>--</v>
      </c>
      <c r="H5" s="37"/>
      <c r="I5" s="35"/>
      <c r="J5" s="35"/>
      <c r="K5" s="35"/>
      <c r="L5" s="36" t="str">
        <f>IFERROR(AVERAGE(I5:K5),"--")</f>
        <v>--</v>
      </c>
      <c r="M5" s="37"/>
      <c r="N5" s="35"/>
      <c r="O5" s="35"/>
      <c r="P5" s="35"/>
      <c r="Q5" s="36" t="str">
        <f>IFERROR(AVERAGE(N5:P5),"--")</f>
        <v>--</v>
      </c>
      <c r="R5" s="38"/>
    </row>
    <row r="6" spans="1:37" ht="8.1" customHeight="1">
      <c r="A6" s="39"/>
      <c r="B6" s="40"/>
      <c r="C6" s="34"/>
      <c r="D6" s="41"/>
      <c r="E6" s="41"/>
      <c r="F6" s="41"/>
      <c r="G6" s="42"/>
      <c r="H6" s="41"/>
      <c r="I6" s="41"/>
      <c r="J6" s="41"/>
      <c r="K6" s="41"/>
      <c r="L6" s="42"/>
      <c r="M6" s="41"/>
      <c r="N6" s="41"/>
      <c r="O6" s="41"/>
      <c r="P6" s="41"/>
      <c r="Q6" s="42"/>
      <c r="R6" s="41"/>
    </row>
    <row r="7" spans="1:37" ht="15" customHeight="1">
      <c r="A7" s="223" t="s">
        <v>367</v>
      </c>
      <c r="B7" s="33" t="s">
        <v>368</v>
      </c>
      <c r="C7" s="25"/>
      <c r="D7" s="35"/>
      <c r="E7" s="35"/>
      <c r="F7" s="35"/>
      <c r="G7" s="36" t="str">
        <f>IFERROR(AVERAGE(D7:F7),"--")</f>
        <v>--</v>
      </c>
      <c r="H7" s="34"/>
      <c r="I7" s="35"/>
      <c r="J7" s="35"/>
      <c r="K7" s="35"/>
      <c r="L7" s="36" t="str">
        <f>IFERROR(AVERAGE(I7:K7),"--")</f>
        <v>--</v>
      </c>
      <c r="M7" s="34"/>
      <c r="N7" s="35"/>
      <c r="O7" s="35"/>
      <c r="P7" s="35"/>
      <c r="Q7" s="36" t="str">
        <f>IFERROR(AVERAGE(N7:P7),"--")</f>
        <v>--</v>
      </c>
      <c r="R7" s="38"/>
    </row>
    <row r="8" spans="1:37" ht="15" customHeight="1">
      <c r="A8" s="223"/>
      <c r="B8" s="33" t="s">
        <v>255</v>
      </c>
      <c r="C8" s="25"/>
      <c r="D8" s="35"/>
      <c r="E8" s="35"/>
      <c r="F8" s="35"/>
      <c r="G8" s="36" t="str">
        <f>IFERROR(AVERAGE(D8:F8),"--")</f>
        <v>--</v>
      </c>
      <c r="H8" s="34"/>
      <c r="I8" s="35"/>
      <c r="J8" s="35"/>
      <c r="K8" s="35"/>
      <c r="L8" s="36" t="str">
        <f>IFERROR(AVERAGE(I8:K8),"--")</f>
        <v>--</v>
      </c>
      <c r="M8" s="34"/>
      <c r="N8" s="35"/>
      <c r="O8" s="35"/>
      <c r="P8" s="35"/>
      <c r="Q8" s="36" t="str">
        <f>IFERROR(AVERAGE(N8:P8),"--")</f>
        <v>--</v>
      </c>
      <c r="R8" s="38"/>
    </row>
    <row r="9" spans="1:37" ht="8.1" customHeight="1">
      <c r="A9" s="43"/>
      <c r="B9" s="44"/>
      <c r="C9" s="25"/>
      <c r="D9" s="45"/>
      <c r="E9" s="45"/>
      <c r="F9" s="45"/>
      <c r="G9" s="46"/>
      <c r="H9" s="45"/>
      <c r="I9" s="45"/>
      <c r="J9" s="45"/>
      <c r="K9" s="45"/>
      <c r="L9" s="46"/>
      <c r="M9" s="45"/>
      <c r="N9" s="45"/>
      <c r="O9" s="45"/>
      <c r="P9" s="45"/>
      <c r="Q9" s="46"/>
      <c r="R9" s="45"/>
    </row>
    <row r="10" spans="1:37" ht="15.75" customHeight="1">
      <c r="A10" s="230" t="s">
        <v>309</v>
      </c>
      <c r="B10" s="48" t="s">
        <v>310</v>
      </c>
      <c r="C10" s="25"/>
      <c r="D10" s="49">
        <v>280</v>
      </c>
      <c r="E10" s="49">
        <v>283</v>
      </c>
      <c r="F10" s="49">
        <v>285</v>
      </c>
      <c r="G10" s="50">
        <f>IFERROR(AVERAGE(D10:F10),"--")</f>
        <v>282.66666666666669</v>
      </c>
      <c r="H10" s="51"/>
      <c r="I10" s="49">
        <v>291</v>
      </c>
      <c r="J10" s="49">
        <v>284</v>
      </c>
      <c r="K10" s="49">
        <v>300</v>
      </c>
      <c r="L10" s="50">
        <f>IFERROR(AVERAGE(I10:K10),"--")</f>
        <v>291.66666666666669</v>
      </c>
      <c r="M10" s="51"/>
      <c r="N10" s="49">
        <v>319</v>
      </c>
      <c r="O10" s="49">
        <v>321</v>
      </c>
      <c r="P10" s="49">
        <v>311</v>
      </c>
      <c r="Q10" s="50">
        <f>IFERROR(AVERAGE(N10:P10),"--")</f>
        <v>317</v>
      </c>
      <c r="R10" s="52"/>
    </row>
    <row r="11" spans="1:37" ht="15.75" customHeight="1">
      <c r="A11" s="231"/>
      <c r="B11" s="48" t="s">
        <v>311</v>
      </c>
      <c r="C11" s="25"/>
      <c r="D11" s="49">
        <v>211</v>
      </c>
      <c r="E11" s="49">
        <v>211</v>
      </c>
      <c r="F11" s="49">
        <v>214</v>
      </c>
      <c r="G11" s="50">
        <f>IFERROR(AVERAGE(D11:F11),"--")</f>
        <v>212</v>
      </c>
      <c r="H11" s="51"/>
      <c r="I11" s="49">
        <v>217</v>
      </c>
      <c r="J11" s="49">
        <v>220</v>
      </c>
      <c r="K11" s="49">
        <v>221</v>
      </c>
      <c r="L11" s="50">
        <f>IFERROR(AVERAGE(I11:K11),"--")</f>
        <v>219.33333333333334</v>
      </c>
      <c r="M11" s="51"/>
      <c r="N11" s="49">
        <v>233</v>
      </c>
      <c r="O11" s="49">
        <v>234</v>
      </c>
      <c r="P11" s="49">
        <v>231</v>
      </c>
      <c r="Q11" s="50">
        <f>IFERROR(AVERAGE(N11:P11),"--")</f>
        <v>232.66666666666666</v>
      </c>
      <c r="R11" s="52"/>
    </row>
    <row r="12" spans="1:37" ht="15.75" customHeight="1">
      <c r="A12" s="231"/>
      <c r="B12" s="48" t="s">
        <v>312</v>
      </c>
      <c r="C12" s="25"/>
      <c r="D12" s="49">
        <v>342</v>
      </c>
      <c r="E12" s="49">
        <v>340</v>
      </c>
      <c r="F12" s="49">
        <v>347</v>
      </c>
      <c r="G12" s="50">
        <f>IFERROR(AVERAGE(D12:F12),"--")</f>
        <v>343</v>
      </c>
      <c r="H12" s="51"/>
      <c r="I12" s="49">
        <v>350</v>
      </c>
      <c r="J12" s="49">
        <v>363</v>
      </c>
      <c r="K12" s="49">
        <v>363</v>
      </c>
      <c r="L12" s="50">
        <f>IFERROR(AVERAGE(I12:K12),"--")</f>
        <v>358.66666666666669</v>
      </c>
      <c r="M12" s="51"/>
      <c r="N12" s="49">
        <v>385</v>
      </c>
      <c r="O12" s="49">
        <v>388</v>
      </c>
      <c r="P12" s="49">
        <v>370</v>
      </c>
      <c r="Q12" s="50">
        <f>IFERROR(AVERAGE(N12:P12),"--")</f>
        <v>381</v>
      </c>
      <c r="R12" s="52"/>
    </row>
    <row r="13" spans="1:37" ht="8.1" customHeight="1">
      <c r="A13" s="43"/>
      <c r="B13" s="44"/>
      <c r="C13" s="25"/>
      <c r="D13" s="45"/>
      <c r="E13" s="45"/>
      <c r="F13" s="45"/>
      <c r="G13" s="46"/>
      <c r="H13" s="45"/>
      <c r="I13" s="45"/>
      <c r="J13" s="45"/>
      <c r="K13" s="45"/>
      <c r="L13" s="46"/>
      <c r="M13" s="45"/>
      <c r="N13" s="45"/>
      <c r="O13" s="45"/>
      <c r="P13" s="45"/>
      <c r="Q13" s="46"/>
      <c r="R13" s="45"/>
    </row>
    <row r="14" spans="1:37" ht="15.75" customHeight="1">
      <c r="A14" s="47" t="s">
        <v>329</v>
      </c>
      <c r="B14" s="48" t="s">
        <v>310</v>
      </c>
      <c r="C14" s="25"/>
      <c r="D14" s="53">
        <v>183.7</v>
      </c>
      <c r="E14" s="53">
        <v>183</v>
      </c>
      <c r="F14" s="53">
        <v>172.2</v>
      </c>
      <c r="G14" s="50">
        <f>IFERROR(AVERAGE(D14:F14),"--")</f>
        <v>179.63333333333333</v>
      </c>
      <c r="H14" s="51"/>
      <c r="I14" s="53">
        <v>181.3</v>
      </c>
      <c r="J14" s="53">
        <v>189.6</v>
      </c>
      <c r="K14" s="53">
        <v>180.2</v>
      </c>
      <c r="L14" s="50">
        <f>IFERROR(AVERAGE(I14:K14),"--")</f>
        <v>183.69999999999996</v>
      </c>
      <c r="M14" s="51"/>
      <c r="N14" s="53">
        <v>194.1</v>
      </c>
      <c r="O14" s="53">
        <v>194.6</v>
      </c>
      <c r="P14" s="53">
        <v>194.8</v>
      </c>
      <c r="Q14" s="50">
        <f>IFERROR(AVERAGE(N14:P14),"--")</f>
        <v>194.5</v>
      </c>
      <c r="R14" s="52"/>
    </row>
    <row r="15" spans="1:37" ht="8.1" customHeight="1">
      <c r="A15" s="43"/>
      <c r="B15" s="44"/>
      <c r="C15" s="25"/>
      <c r="D15" s="45"/>
      <c r="E15" s="45"/>
      <c r="F15" s="45"/>
      <c r="G15" s="46"/>
      <c r="H15" s="45"/>
      <c r="I15" s="45"/>
      <c r="J15" s="45"/>
      <c r="K15" s="45"/>
      <c r="L15" s="46"/>
      <c r="M15" s="45"/>
      <c r="N15" s="45"/>
      <c r="O15" s="45"/>
      <c r="P15" s="45"/>
      <c r="Q15" s="46"/>
      <c r="R15" s="45"/>
    </row>
    <row r="16" spans="1:37" ht="15.75" customHeight="1">
      <c r="A16" s="54"/>
    </row>
    <row r="17" spans="1:1" ht="15.75" customHeight="1">
      <c r="A17" s="54"/>
    </row>
    <row r="18" spans="1:1" ht="15.75" customHeight="1">
      <c r="A18" s="54"/>
    </row>
    <row r="19" spans="1:1" ht="15.75" customHeight="1">
      <c r="A19" s="54"/>
    </row>
    <row r="20" spans="1:1" ht="15.75" customHeight="1">
      <c r="A20" s="54"/>
    </row>
    <row r="21" spans="1:1" ht="15.75" customHeight="1">
      <c r="A21" s="54"/>
    </row>
    <row r="22" spans="1:1" ht="15.75" customHeight="1">
      <c r="A22" s="54"/>
    </row>
    <row r="23" spans="1:1" ht="15.75" customHeight="1">
      <c r="A23" s="54"/>
    </row>
    <row r="24" spans="1:1" ht="15.75" customHeight="1">
      <c r="A24" s="54"/>
    </row>
    <row r="25" spans="1:1" ht="15.75" customHeight="1">
      <c r="A25" s="54"/>
    </row>
    <row r="26" spans="1:1" ht="15.75" customHeight="1">
      <c r="A26" s="54"/>
    </row>
    <row r="27" spans="1:1" ht="15.75" customHeight="1">
      <c r="A27" s="54"/>
    </row>
    <row r="28" spans="1:1" ht="15.75" customHeight="1">
      <c r="A28" s="54"/>
    </row>
    <row r="29" spans="1:1" ht="15.75" customHeight="1">
      <c r="A29" s="54"/>
    </row>
    <row r="30" spans="1:1" ht="15.75" customHeight="1">
      <c r="A30" s="54"/>
    </row>
    <row r="31" spans="1:1" ht="15.75" customHeight="1">
      <c r="A31" s="54"/>
    </row>
    <row r="32" spans="1:1" ht="15.75" customHeight="1">
      <c r="A32" s="54"/>
    </row>
    <row r="33" spans="1:1" ht="15.75" customHeight="1">
      <c r="A33" s="54"/>
    </row>
    <row r="34" spans="1:1" ht="15.75" customHeight="1">
      <c r="A34" s="54"/>
    </row>
    <row r="35" spans="1:1" ht="15.75" customHeight="1">
      <c r="A35" s="54"/>
    </row>
    <row r="36" spans="1:1" ht="15.75" customHeight="1">
      <c r="A36" s="54"/>
    </row>
    <row r="37" spans="1:1" ht="15.75" customHeight="1">
      <c r="A37" s="54"/>
    </row>
    <row r="38" spans="1:1" ht="15.75" customHeight="1">
      <c r="A38" s="54"/>
    </row>
    <row r="39" spans="1:1" ht="15.75" customHeight="1">
      <c r="A39" s="54"/>
    </row>
    <row r="40" spans="1:1" ht="15.75" customHeight="1">
      <c r="A40" s="54"/>
    </row>
    <row r="41" spans="1:1" ht="15.75" customHeight="1">
      <c r="A41" s="54"/>
    </row>
    <row r="42" spans="1:1" ht="15.75" customHeight="1">
      <c r="A42" s="54"/>
    </row>
    <row r="43" spans="1:1" ht="15.75" customHeight="1">
      <c r="A43" s="54"/>
    </row>
    <row r="44" spans="1:1" ht="15.75" customHeight="1">
      <c r="A44" s="54"/>
    </row>
    <row r="45" spans="1:1" ht="15.75" customHeight="1">
      <c r="A45" s="54"/>
    </row>
    <row r="46" spans="1:1" ht="15.75" customHeight="1">
      <c r="A46" s="54"/>
    </row>
    <row r="47" spans="1:1" ht="15.75" customHeight="1">
      <c r="A47" s="54"/>
    </row>
    <row r="48" spans="1:1" ht="15.75" customHeight="1">
      <c r="A48" s="54"/>
    </row>
    <row r="49" spans="1:1" ht="15.75" customHeight="1">
      <c r="A49" s="54"/>
    </row>
    <row r="50" spans="1:1" ht="15.75" customHeight="1">
      <c r="A50" s="54"/>
    </row>
    <row r="51" spans="1:1" ht="15.75" customHeight="1">
      <c r="A51" s="54"/>
    </row>
    <row r="52" spans="1:1" ht="15.75" customHeight="1">
      <c r="A52" s="54"/>
    </row>
    <row r="53" spans="1:1" ht="15.75" customHeight="1">
      <c r="A53" s="54"/>
    </row>
    <row r="54" spans="1:1" ht="15.75" customHeight="1">
      <c r="A54" s="54"/>
    </row>
    <row r="55" spans="1:1" ht="15.75" customHeight="1">
      <c r="A55" s="54"/>
    </row>
    <row r="56" spans="1:1" ht="15.75" customHeight="1">
      <c r="A56" s="54"/>
    </row>
    <row r="57" spans="1:1" ht="15.75" customHeight="1">
      <c r="A57" s="54"/>
    </row>
    <row r="58" spans="1:1" ht="15.75" customHeight="1">
      <c r="A58" s="54"/>
    </row>
    <row r="59" spans="1:1" ht="15.75" customHeight="1">
      <c r="A59" s="54"/>
    </row>
    <row r="60" spans="1:1" ht="15.75" customHeight="1">
      <c r="A60" s="54"/>
    </row>
    <row r="61" spans="1:1" ht="15.75" customHeight="1">
      <c r="A61" s="54"/>
    </row>
    <row r="62" spans="1:1" ht="15.75" customHeight="1">
      <c r="A62" s="54"/>
    </row>
    <row r="63" spans="1:1" ht="15.75" customHeight="1">
      <c r="A63" s="54"/>
    </row>
    <row r="64" spans="1:1" ht="15.75" customHeight="1">
      <c r="A64" s="54"/>
    </row>
    <row r="65" spans="1:1" ht="15.75" customHeight="1">
      <c r="A65" s="54"/>
    </row>
    <row r="66" spans="1:1" ht="15.75" customHeight="1">
      <c r="A66" s="54"/>
    </row>
    <row r="67" spans="1:1" ht="15.75" customHeight="1">
      <c r="A67" s="54"/>
    </row>
    <row r="68" spans="1:1" ht="15.75" customHeight="1">
      <c r="A68" s="54"/>
    </row>
    <row r="69" spans="1:1" ht="15.75" customHeight="1">
      <c r="A69" s="54"/>
    </row>
    <row r="70" spans="1:1" ht="15.75" customHeight="1">
      <c r="A70" s="54"/>
    </row>
    <row r="71" spans="1:1" ht="15.75" customHeight="1">
      <c r="A71" s="54"/>
    </row>
    <row r="72" spans="1:1" ht="15.75" customHeight="1">
      <c r="A72" s="54"/>
    </row>
    <row r="73" spans="1:1" ht="15.75" customHeight="1">
      <c r="A73" s="54"/>
    </row>
    <row r="74" spans="1:1" ht="15.75" customHeight="1">
      <c r="A74" s="54"/>
    </row>
    <row r="75" spans="1:1" ht="15.75" customHeight="1">
      <c r="A75" s="54"/>
    </row>
    <row r="76" spans="1:1" ht="15.75" customHeight="1">
      <c r="A76" s="54"/>
    </row>
    <row r="77" spans="1:1" ht="15.75" customHeight="1">
      <c r="A77" s="54"/>
    </row>
    <row r="78" spans="1:1" ht="15.75" customHeight="1">
      <c r="A78" s="54"/>
    </row>
    <row r="79" spans="1:1" ht="15.75" customHeight="1">
      <c r="A79" s="54"/>
    </row>
    <row r="80" spans="1:1" ht="15.75" customHeight="1">
      <c r="A80" s="54"/>
    </row>
    <row r="81" spans="1:1" ht="15.75" customHeight="1">
      <c r="A81" s="54"/>
    </row>
    <row r="82" spans="1:1" ht="15.75" customHeight="1">
      <c r="A82" s="54"/>
    </row>
    <row r="83" spans="1:1" ht="15.75" customHeight="1">
      <c r="A83" s="54"/>
    </row>
    <row r="84" spans="1:1" ht="15.75" customHeight="1">
      <c r="A84" s="54"/>
    </row>
    <row r="85" spans="1:1" ht="15.75" customHeight="1">
      <c r="A85" s="54"/>
    </row>
    <row r="86" spans="1:1" ht="15.75" customHeight="1">
      <c r="A86" s="54"/>
    </row>
    <row r="87" spans="1:1" ht="15.75" customHeight="1">
      <c r="A87" s="54"/>
    </row>
    <row r="88" spans="1:1" ht="15.75" customHeight="1">
      <c r="A88" s="54"/>
    </row>
    <row r="89" spans="1:1" ht="15.75" customHeight="1">
      <c r="A89" s="54"/>
    </row>
    <row r="90" spans="1:1" ht="15.75" customHeight="1">
      <c r="A90" s="54"/>
    </row>
    <row r="91" spans="1:1" ht="15.75" customHeight="1">
      <c r="A91" s="54"/>
    </row>
    <row r="92" spans="1:1" ht="15.75" customHeight="1">
      <c r="A92" s="54"/>
    </row>
    <row r="93" spans="1:1" ht="15.75" customHeight="1">
      <c r="A93" s="54"/>
    </row>
    <row r="94" spans="1:1" ht="15.75" customHeight="1">
      <c r="A94" s="54"/>
    </row>
    <row r="95" spans="1:1" ht="15.75" customHeight="1">
      <c r="A95" s="54"/>
    </row>
    <row r="96" spans="1:1" ht="15.75" customHeight="1">
      <c r="A96" s="54"/>
    </row>
    <row r="97" spans="1:1" ht="15.75" customHeight="1">
      <c r="A97" s="54"/>
    </row>
    <row r="98" spans="1:1" ht="15.75" customHeight="1">
      <c r="A98" s="54"/>
    </row>
    <row r="99" spans="1:1" ht="15.75" customHeight="1">
      <c r="A99" s="54"/>
    </row>
    <row r="100" spans="1:1" ht="15.75" customHeight="1">
      <c r="A100" s="54"/>
    </row>
    <row r="101" spans="1:1" ht="15.75" customHeight="1">
      <c r="A101" s="54"/>
    </row>
    <row r="102" spans="1:1" ht="15.75" customHeight="1">
      <c r="A102" s="54"/>
    </row>
    <row r="103" spans="1:1" ht="15.75" customHeight="1">
      <c r="A103" s="54"/>
    </row>
    <row r="104" spans="1:1" ht="15.75" customHeight="1">
      <c r="A104" s="54"/>
    </row>
    <row r="105" spans="1:1" ht="15.75" customHeight="1">
      <c r="A105" s="54"/>
    </row>
    <row r="106" spans="1:1" ht="15.75" customHeight="1">
      <c r="A106" s="54"/>
    </row>
    <row r="107" spans="1:1" ht="15.75" customHeight="1">
      <c r="A107" s="54"/>
    </row>
    <row r="108" spans="1:1" ht="15.75" customHeight="1">
      <c r="A108" s="54"/>
    </row>
    <row r="109" spans="1:1" ht="15.75" customHeight="1">
      <c r="A109" s="54"/>
    </row>
    <row r="110" spans="1:1" ht="15.75" customHeight="1">
      <c r="A110" s="54"/>
    </row>
    <row r="111" spans="1:1" ht="15.75" customHeight="1">
      <c r="A111" s="54"/>
    </row>
    <row r="112" spans="1:1" ht="15.75" customHeight="1">
      <c r="A112" s="54"/>
    </row>
    <row r="113" spans="1:1" ht="15.75" customHeight="1">
      <c r="A113" s="54"/>
    </row>
    <row r="114" spans="1:1" ht="15.75" customHeight="1">
      <c r="A114" s="54"/>
    </row>
    <row r="115" spans="1:1" ht="15.75" customHeight="1">
      <c r="A115" s="54"/>
    </row>
    <row r="116" spans="1:1" ht="15.75" customHeight="1">
      <c r="A116" s="54"/>
    </row>
    <row r="117" spans="1:1" ht="15.75" customHeight="1">
      <c r="A117" s="54"/>
    </row>
    <row r="118" spans="1:1" ht="15.75" customHeight="1">
      <c r="A118" s="54"/>
    </row>
    <row r="119" spans="1:1" ht="15.75" customHeight="1">
      <c r="A119" s="54"/>
    </row>
    <row r="120" spans="1:1" ht="15.75" customHeight="1">
      <c r="A120" s="54"/>
    </row>
    <row r="121" spans="1:1" ht="15.75" customHeight="1">
      <c r="A121" s="54"/>
    </row>
    <row r="122" spans="1:1" ht="15.75" customHeight="1">
      <c r="A122" s="54"/>
    </row>
    <row r="123" spans="1:1" ht="15.75" customHeight="1">
      <c r="A123" s="54"/>
    </row>
    <row r="124" spans="1:1" ht="15.75" customHeight="1">
      <c r="A124" s="54"/>
    </row>
    <row r="125" spans="1:1" ht="15.75" customHeight="1">
      <c r="A125" s="54"/>
    </row>
    <row r="126" spans="1:1" ht="15.75" customHeight="1">
      <c r="A126" s="54"/>
    </row>
    <row r="127" spans="1:1" ht="15.75" customHeight="1">
      <c r="A127" s="54"/>
    </row>
    <row r="128" spans="1:1" ht="15.75" customHeight="1">
      <c r="A128" s="54"/>
    </row>
    <row r="129" spans="1:1" ht="15.75" customHeight="1">
      <c r="A129" s="54"/>
    </row>
    <row r="130" spans="1:1" ht="15.75" customHeight="1">
      <c r="A130" s="54"/>
    </row>
    <row r="131" spans="1:1" ht="15.75" customHeight="1">
      <c r="A131" s="54"/>
    </row>
    <row r="132" spans="1:1" ht="15.75" customHeight="1">
      <c r="A132" s="54"/>
    </row>
    <row r="133" spans="1:1" ht="15.75" customHeight="1">
      <c r="A133" s="54"/>
    </row>
    <row r="134" spans="1:1" ht="15.75" customHeight="1">
      <c r="A134" s="54"/>
    </row>
    <row r="135" spans="1:1" ht="15.75" customHeight="1">
      <c r="A135" s="54"/>
    </row>
    <row r="136" spans="1:1" ht="15.75" customHeight="1">
      <c r="A136" s="54"/>
    </row>
    <row r="137" spans="1:1" ht="15.75" customHeight="1">
      <c r="A137" s="54"/>
    </row>
    <row r="138" spans="1:1" ht="15.75" customHeight="1">
      <c r="A138" s="54"/>
    </row>
    <row r="139" spans="1:1" ht="15.75" customHeight="1">
      <c r="A139" s="54"/>
    </row>
    <row r="140" spans="1:1" ht="15.75" customHeight="1">
      <c r="A140" s="54"/>
    </row>
    <row r="141" spans="1:1" ht="15.75" customHeight="1">
      <c r="A141" s="54"/>
    </row>
    <row r="142" spans="1:1" ht="15.75" customHeight="1">
      <c r="A142" s="54"/>
    </row>
    <row r="143" spans="1:1" ht="15.75" customHeight="1">
      <c r="A143" s="54"/>
    </row>
    <row r="144" spans="1:1" ht="15.75" customHeight="1">
      <c r="A144" s="54"/>
    </row>
    <row r="145" spans="1:1" ht="15.75" customHeight="1">
      <c r="A145" s="54"/>
    </row>
    <row r="146" spans="1:1" ht="15.75" customHeight="1">
      <c r="A146" s="54"/>
    </row>
    <row r="147" spans="1:1" ht="15.75" customHeight="1">
      <c r="A147" s="54"/>
    </row>
    <row r="148" spans="1:1" ht="15.75" customHeight="1">
      <c r="A148" s="54"/>
    </row>
    <row r="149" spans="1:1" ht="15.75" customHeight="1">
      <c r="A149" s="54"/>
    </row>
    <row r="150" spans="1:1" ht="15.75" customHeight="1">
      <c r="A150" s="54"/>
    </row>
    <row r="151" spans="1:1" ht="15.75" customHeight="1">
      <c r="A151" s="54"/>
    </row>
    <row r="152" spans="1:1" ht="15.75" customHeight="1">
      <c r="A152" s="54"/>
    </row>
    <row r="153" spans="1:1" ht="15.75" customHeight="1">
      <c r="A153" s="54"/>
    </row>
    <row r="154" spans="1:1" ht="15.75" customHeight="1">
      <c r="A154" s="54"/>
    </row>
    <row r="155" spans="1:1" ht="15.75" customHeight="1">
      <c r="A155" s="54"/>
    </row>
    <row r="156" spans="1:1" ht="15.75" customHeight="1">
      <c r="A156" s="54"/>
    </row>
    <row r="157" spans="1:1" ht="15.75" customHeight="1">
      <c r="A157" s="54"/>
    </row>
    <row r="158" spans="1:1" ht="15.75" customHeight="1">
      <c r="A158" s="54"/>
    </row>
    <row r="159" spans="1:1" ht="15.75" customHeight="1">
      <c r="A159" s="54"/>
    </row>
    <row r="160" spans="1:1" ht="15.75" customHeight="1">
      <c r="A160" s="54"/>
    </row>
    <row r="161" spans="1:1" ht="15.75" customHeight="1">
      <c r="A161" s="54"/>
    </row>
    <row r="162" spans="1:1" ht="15.75" customHeight="1">
      <c r="A162" s="54"/>
    </row>
    <row r="163" spans="1:1" ht="15.75" customHeight="1">
      <c r="A163" s="54"/>
    </row>
    <row r="164" spans="1:1" ht="15.75" customHeight="1">
      <c r="A164" s="54"/>
    </row>
    <row r="165" spans="1:1" ht="15.75" customHeight="1">
      <c r="A165" s="54"/>
    </row>
    <row r="166" spans="1:1" ht="15.75" customHeight="1">
      <c r="A166" s="54"/>
    </row>
    <row r="167" spans="1:1" ht="15.75" customHeight="1">
      <c r="A167" s="54"/>
    </row>
    <row r="168" spans="1:1" ht="15.75" customHeight="1">
      <c r="A168" s="54"/>
    </row>
    <row r="169" spans="1:1" ht="15.75" customHeight="1">
      <c r="A169" s="54"/>
    </row>
    <row r="170" spans="1:1" ht="15.75" customHeight="1">
      <c r="A170" s="54"/>
    </row>
    <row r="171" spans="1:1" ht="15.75" customHeight="1">
      <c r="A171" s="54"/>
    </row>
    <row r="172" spans="1:1" ht="15.75" customHeight="1">
      <c r="A172" s="54"/>
    </row>
    <row r="173" spans="1:1" ht="15.75" customHeight="1">
      <c r="A173" s="54"/>
    </row>
    <row r="174" spans="1:1" ht="15.75" customHeight="1">
      <c r="A174" s="54"/>
    </row>
    <row r="175" spans="1:1" ht="15.75" customHeight="1">
      <c r="A175" s="54"/>
    </row>
    <row r="176" spans="1:1" ht="15.75" customHeight="1">
      <c r="A176" s="54"/>
    </row>
    <row r="177" spans="1:1" ht="15.75" customHeight="1">
      <c r="A177" s="54"/>
    </row>
    <row r="178" spans="1:1" ht="15.75" customHeight="1">
      <c r="A178" s="54"/>
    </row>
    <row r="179" spans="1:1" ht="15.75" customHeight="1">
      <c r="A179" s="54"/>
    </row>
    <row r="180" spans="1:1" ht="15.75" customHeight="1">
      <c r="A180" s="54"/>
    </row>
    <row r="181" spans="1:1" ht="15.75" customHeight="1">
      <c r="A181" s="54"/>
    </row>
    <row r="182" spans="1:1" ht="15.75" customHeight="1">
      <c r="A182" s="54"/>
    </row>
    <row r="183" spans="1:1" ht="15.75" customHeight="1">
      <c r="A183" s="54"/>
    </row>
    <row r="184" spans="1:1" ht="15.75" customHeight="1">
      <c r="A184" s="54"/>
    </row>
    <row r="185" spans="1:1" ht="15.75" customHeight="1">
      <c r="A185" s="54"/>
    </row>
    <row r="186" spans="1:1" ht="15.75" customHeight="1">
      <c r="A186" s="54"/>
    </row>
    <row r="187" spans="1:1" ht="15.75" customHeight="1">
      <c r="A187" s="54"/>
    </row>
    <row r="188" spans="1:1" ht="15.75" customHeight="1">
      <c r="A188" s="54"/>
    </row>
    <row r="189" spans="1:1" ht="15.75" customHeight="1">
      <c r="A189" s="54"/>
    </row>
    <row r="190" spans="1:1" ht="15.75" customHeight="1">
      <c r="A190" s="54"/>
    </row>
    <row r="191" spans="1:1" ht="15.75" customHeight="1">
      <c r="A191" s="54"/>
    </row>
    <row r="192" spans="1:1" ht="15.75" customHeight="1">
      <c r="A192" s="54"/>
    </row>
    <row r="193" spans="1:1" ht="15.75" customHeight="1">
      <c r="A193" s="54"/>
    </row>
    <row r="194" spans="1:1" ht="15.75" customHeight="1">
      <c r="A194" s="54"/>
    </row>
    <row r="195" spans="1:1" ht="15.75" customHeight="1">
      <c r="A195" s="54"/>
    </row>
    <row r="196" spans="1:1" ht="15.75" customHeight="1">
      <c r="A196" s="54"/>
    </row>
    <row r="197" spans="1:1" ht="15.75" customHeight="1">
      <c r="A197" s="54"/>
    </row>
    <row r="198" spans="1:1" ht="15.75" customHeight="1">
      <c r="A198" s="54"/>
    </row>
    <row r="199" spans="1:1" ht="15.75" customHeight="1">
      <c r="A199" s="54"/>
    </row>
    <row r="200" spans="1:1" ht="15.75" customHeight="1">
      <c r="A200" s="54"/>
    </row>
    <row r="201" spans="1:1" ht="15.75" customHeight="1">
      <c r="A201" s="54"/>
    </row>
    <row r="202" spans="1:1" ht="15.75" customHeight="1">
      <c r="A202" s="54"/>
    </row>
    <row r="203" spans="1:1" ht="15.75" customHeight="1">
      <c r="A203" s="54"/>
    </row>
    <row r="204" spans="1:1" ht="15.75" customHeight="1">
      <c r="A204" s="54"/>
    </row>
    <row r="205" spans="1:1" ht="15.75" customHeight="1">
      <c r="A205" s="54"/>
    </row>
    <row r="206" spans="1:1" ht="15.75" customHeight="1">
      <c r="A206" s="54"/>
    </row>
    <row r="207" spans="1:1" ht="15.75" customHeight="1">
      <c r="A207" s="54"/>
    </row>
    <row r="208" spans="1:1" ht="15.75" customHeight="1">
      <c r="A208" s="54"/>
    </row>
    <row r="209" spans="1:1" ht="15.75" customHeight="1">
      <c r="A209" s="54"/>
    </row>
    <row r="210" spans="1:1" ht="15.75" customHeight="1">
      <c r="A210" s="54"/>
    </row>
    <row r="211" spans="1:1" ht="15.75" customHeight="1">
      <c r="A211" s="54"/>
    </row>
    <row r="212" spans="1:1" ht="15.75" customHeight="1">
      <c r="A212" s="54"/>
    </row>
    <row r="213" spans="1:1" ht="15.75" customHeight="1">
      <c r="A213" s="54"/>
    </row>
    <row r="214" spans="1:1" ht="15.75" customHeight="1">
      <c r="A214" s="54"/>
    </row>
    <row r="215" spans="1:1" ht="15.75" customHeight="1">
      <c r="A215" s="54"/>
    </row>
    <row r="216" spans="1:1" ht="15.75" customHeight="1">
      <c r="A216" s="54"/>
    </row>
    <row r="217" spans="1:1" ht="15.75" customHeight="1">
      <c r="A217" s="54"/>
    </row>
    <row r="218" spans="1:1" ht="15.75" customHeight="1">
      <c r="A218" s="54"/>
    </row>
    <row r="219" spans="1:1" ht="15.75" customHeight="1">
      <c r="A219" s="54"/>
    </row>
    <row r="220" spans="1:1" ht="15.75" customHeight="1">
      <c r="A220" s="54"/>
    </row>
    <row r="221" spans="1:1" ht="15.75" customHeight="1">
      <c r="A221" s="54"/>
    </row>
    <row r="222" spans="1:1" ht="15.75" customHeight="1">
      <c r="A222" s="54"/>
    </row>
    <row r="223" spans="1:1" ht="15.75" customHeight="1">
      <c r="A223" s="54"/>
    </row>
    <row r="224" spans="1:1" ht="15.75" customHeight="1">
      <c r="A224" s="54"/>
    </row>
    <row r="225" spans="1:1" ht="15.75" customHeight="1">
      <c r="A225" s="54"/>
    </row>
    <row r="226" spans="1:1" ht="15.75" customHeight="1">
      <c r="A226" s="54"/>
    </row>
    <row r="227" spans="1:1" ht="15.75" customHeight="1">
      <c r="A227" s="54"/>
    </row>
    <row r="228" spans="1:1" ht="15.75" customHeight="1">
      <c r="A228" s="54"/>
    </row>
    <row r="229" spans="1:1" ht="15.75" customHeight="1">
      <c r="A229" s="54"/>
    </row>
    <row r="230" spans="1:1" ht="15.75" customHeight="1">
      <c r="A230" s="54"/>
    </row>
    <row r="231" spans="1:1" ht="15.75" customHeight="1">
      <c r="A231" s="54"/>
    </row>
    <row r="232" spans="1:1" ht="15.75" customHeight="1">
      <c r="A232" s="54"/>
    </row>
    <row r="233" spans="1:1" ht="15.75" customHeight="1">
      <c r="A233" s="54"/>
    </row>
    <row r="234" spans="1:1" ht="15.75" customHeight="1">
      <c r="A234" s="54"/>
    </row>
    <row r="235" spans="1:1" ht="15.75" customHeight="1">
      <c r="A235" s="54"/>
    </row>
    <row r="236" spans="1:1" ht="15.75" customHeight="1">
      <c r="A236" s="54"/>
    </row>
    <row r="237" spans="1:1" ht="15.75" customHeight="1">
      <c r="A237" s="54"/>
    </row>
    <row r="238" spans="1:1" ht="15.75" customHeight="1">
      <c r="A238" s="54"/>
    </row>
    <row r="239" spans="1:1" ht="15.75" customHeight="1">
      <c r="A239" s="54"/>
    </row>
    <row r="240" spans="1:1" ht="15.75" customHeight="1">
      <c r="A240" s="54"/>
    </row>
    <row r="241" spans="1:1" ht="15.75" customHeight="1">
      <c r="A241" s="54"/>
    </row>
    <row r="242" spans="1:1" ht="15.75" customHeight="1">
      <c r="A242" s="54"/>
    </row>
    <row r="243" spans="1:1" ht="15.75" customHeight="1">
      <c r="A243" s="54"/>
    </row>
    <row r="244" spans="1:1" ht="15.75" customHeight="1">
      <c r="A244" s="54"/>
    </row>
    <row r="245" spans="1:1" ht="15.75" customHeight="1">
      <c r="A245" s="54"/>
    </row>
    <row r="246" spans="1:1" ht="15.75" customHeight="1">
      <c r="A246" s="54"/>
    </row>
    <row r="247" spans="1:1" ht="15.75" customHeight="1">
      <c r="A247" s="54"/>
    </row>
    <row r="248" spans="1:1" ht="15.75" customHeight="1">
      <c r="A248" s="54"/>
    </row>
    <row r="249" spans="1:1" ht="15.75" customHeight="1">
      <c r="A249" s="54"/>
    </row>
    <row r="250" spans="1:1" ht="15.75" customHeight="1">
      <c r="A250" s="54"/>
    </row>
    <row r="251" spans="1:1" ht="15.75" customHeight="1">
      <c r="A251" s="54"/>
    </row>
    <row r="252" spans="1:1" ht="15.75" customHeight="1">
      <c r="A252" s="54"/>
    </row>
    <row r="253" spans="1:1" ht="15.75" customHeight="1">
      <c r="A253" s="54"/>
    </row>
    <row r="254" spans="1:1" ht="15.75" customHeight="1">
      <c r="A254" s="54"/>
    </row>
    <row r="255" spans="1:1" ht="15.75" customHeight="1">
      <c r="A255" s="54"/>
    </row>
    <row r="256" spans="1:1" ht="15.75" customHeight="1">
      <c r="A256" s="54"/>
    </row>
    <row r="257" spans="1:1" ht="15.75" customHeight="1">
      <c r="A257" s="54"/>
    </row>
    <row r="258" spans="1:1" ht="15.75" customHeight="1">
      <c r="A258" s="54"/>
    </row>
    <row r="259" spans="1:1" ht="15.75" customHeight="1">
      <c r="A259" s="54"/>
    </row>
    <row r="260" spans="1:1" ht="15.75" customHeight="1">
      <c r="A260" s="54"/>
    </row>
    <row r="261" spans="1:1" ht="15.75" customHeight="1">
      <c r="A261" s="54"/>
    </row>
    <row r="262" spans="1:1" ht="15.75" customHeight="1">
      <c r="A262" s="54"/>
    </row>
  </sheetData>
  <mergeCells count="9">
    <mergeCell ref="A3:A5"/>
    <mergeCell ref="A7:A8"/>
    <mergeCell ref="A10:A12"/>
    <mergeCell ref="A1:B1"/>
    <mergeCell ref="D1:Q1"/>
    <mergeCell ref="A2:B2"/>
    <mergeCell ref="D2:F2"/>
    <mergeCell ref="I2:K2"/>
    <mergeCell ref="N2:P2"/>
  </mergeCells>
  <phoneticPr fontId="22" type="noConversion"/>
  <pageMargins left="0.7" right="0.7" top="0.75" bottom="0.75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236"/>
  <sheetViews>
    <sheetView zoomScale="80" zoomScaleNormal="80" workbookViewId="0">
      <selection activeCell="G41" sqref="G41"/>
    </sheetView>
  </sheetViews>
  <sheetFormatPr defaultColWidth="13.8984375" defaultRowHeight="15" customHeight="1"/>
  <cols>
    <col min="1" max="1" width="30.59765625" style="2" customWidth="1"/>
    <col min="2" max="2" width="35.59765625" style="2" customWidth="1"/>
    <col min="3" max="3" width="1" style="2" customWidth="1"/>
    <col min="4" max="4" width="10.09765625" style="2" customWidth="1"/>
    <col min="5" max="7" width="9.59765625" style="2" customWidth="1"/>
    <col min="8" max="8" width="1" style="2" customWidth="1"/>
    <col min="9" max="12" width="9.59765625" style="2" customWidth="1"/>
    <col min="13" max="13" width="1" style="2" customWidth="1"/>
    <col min="14" max="17" width="9.59765625" style="2" customWidth="1"/>
    <col min="18" max="18" width="1" style="2" customWidth="1"/>
    <col min="19" max="19" width="13.5" style="2" customWidth="1"/>
    <col min="20" max="20" width="7.59765625" style="2" customWidth="1"/>
    <col min="21" max="21" width="42.09765625" style="2" customWidth="1"/>
    <col min="22" max="22" width="7.59765625" style="2" customWidth="1"/>
    <col min="23" max="29" width="13.8984375" style="2"/>
    <col min="30" max="30" width="29.59765625" style="2" customWidth="1"/>
    <col min="31" max="31" width="27.09765625" style="2" customWidth="1"/>
    <col min="32" max="33" width="13.8984375" style="2"/>
    <col min="34" max="34" width="16.09765625" style="2" customWidth="1"/>
    <col min="35" max="35" width="13.8984375" style="2"/>
    <col min="36" max="36" width="19.5" style="2" customWidth="1"/>
    <col min="37" max="37" width="18.5" style="2" customWidth="1"/>
    <col min="38" max="40" width="13.8984375" style="2"/>
    <col min="41" max="41" width="21.3984375" style="2" customWidth="1"/>
    <col min="42" max="42" width="14.09765625" style="2" customWidth="1"/>
    <col min="43" max="16384" width="13.8984375" style="2"/>
  </cols>
  <sheetData>
    <row r="1" spans="1:49" ht="36" customHeight="1">
      <c r="A1" s="239" t="s">
        <v>211</v>
      </c>
      <c r="B1" s="239"/>
      <c r="C1" s="3"/>
      <c r="D1" s="242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4"/>
      <c r="X1" s="5" t="s">
        <v>111</v>
      </c>
      <c r="Y1" s="5" t="s">
        <v>112</v>
      </c>
      <c r="Z1" s="5" t="s">
        <v>113</v>
      </c>
      <c r="AA1" s="5" t="s">
        <v>114</v>
      </c>
      <c r="AB1" s="5" t="s">
        <v>115</v>
      </c>
      <c r="AC1" s="5" t="s">
        <v>116</v>
      </c>
      <c r="AD1" s="5" t="s">
        <v>212</v>
      </c>
      <c r="AE1" s="6" t="s">
        <v>369</v>
      </c>
      <c r="AF1" s="6" t="s">
        <v>370</v>
      </c>
      <c r="AG1" s="6" t="s">
        <v>371</v>
      </c>
      <c r="AH1" s="6" t="s">
        <v>372</v>
      </c>
      <c r="AI1" s="6" t="s">
        <v>373</v>
      </c>
      <c r="AJ1" s="6" t="s">
        <v>374</v>
      </c>
      <c r="AK1" s="6" t="s">
        <v>375</v>
      </c>
      <c r="AL1" s="6" t="s">
        <v>376</v>
      </c>
      <c r="AM1" s="6" t="s">
        <v>377</v>
      </c>
      <c r="AN1" s="6" t="s">
        <v>378</v>
      </c>
      <c r="AO1" s="6" t="s">
        <v>379</v>
      </c>
      <c r="AP1" s="6" t="s">
        <v>380</v>
      </c>
      <c r="AQ1" s="6" t="s">
        <v>381</v>
      </c>
      <c r="AR1" s="6" t="s">
        <v>382</v>
      </c>
      <c r="AS1" s="6" t="s">
        <v>383</v>
      </c>
      <c r="AT1" s="6" t="s">
        <v>384</v>
      </c>
      <c r="AU1" s="6" t="s">
        <v>385</v>
      </c>
      <c r="AV1" s="6" t="s">
        <v>386</v>
      </c>
      <c r="AW1" s="6" t="s">
        <v>387</v>
      </c>
    </row>
    <row r="2" spans="1:49" ht="28.8">
      <c r="A2" s="239" t="s">
        <v>249</v>
      </c>
      <c r="B2" s="239"/>
      <c r="C2" s="3"/>
      <c r="D2" s="239" t="s">
        <v>250</v>
      </c>
      <c r="E2" s="239"/>
      <c r="F2" s="239"/>
      <c r="G2" s="7" t="s">
        <v>251</v>
      </c>
      <c r="H2" s="3"/>
      <c r="I2" s="239" t="s">
        <v>106</v>
      </c>
      <c r="J2" s="239"/>
      <c r="K2" s="239"/>
      <c r="L2" s="7" t="s">
        <v>251</v>
      </c>
      <c r="M2" s="3"/>
      <c r="N2" s="239" t="s">
        <v>107</v>
      </c>
      <c r="O2" s="239"/>
      <c r="P2" s="239"/>
      <c r="Q2" s="7" t="s">
        <v>251</v>
      </c>
      <c r="R2" s="4"/>
      <c r="U2" s="8" t="s">
        <v>104</v>
      </c>
      <c r="X2" s="5"/>
      <c r="Y2" s="5"/>
      <c r="Z2" s="5"/>
      <c r="AA2" s="5"/>
      <c r="AB2" s="5"/>
      <c r="AC2" s="5" t="s">
        <v>250</v>
      </c>
      <c r="AD2" s="9" t="s">
        <v>252</v>
      </c>
      <c r="AE2" s="10" t="str">
        <f>+G3</f>
        <v>--</v>
      </c>
      <c r="AF2" s="10" t="str">
        <f>+G4</f>
        <v>--</v>
      </c>
      <c r="AG2" s="10"/>
      <c r="AH2" s="10" t="str">
        <f>+G5</f>
        <v>--</v>
      </c>
      <c r="AI2" s="10" t="str">
        <f>+G7</f>
        <v>--</v>
      </c>
      <c r="AJ2" s="10" t="str">
        <f>+G$8</f>
        <v>--</v>
      </c>
      <c r="AK2" s="10" t="str">
        <f>+G9</f>
        <v>--</v>
      </c>
      <c r="AL2" s="10" t="str">
        <f>+G11</f>
        <v>--</v>
      </c>
      <c r="AM2" s="10" t="str">
        <f>+G12</f>
        <v>--</v>
      </c>
      <c r="AN2" s="10" t="str">
        <f>+G13</f>
        <v>--</v>
      </c>
      <c r="AO2" s="10" t="str">
        <f>+G14</f>
        <v>--</v>
      </c>
      <c r="AP2" s="10" t="str">
        <f>G15</f>
        <v>--</v>
      </c>
      <c r="AQ2" s="10" t="str">
        <f>G17</f>
        <v>--</v>
      </c>
      <c r="AR2" s="10" t="str">
        <f>G18</f>
        <v>--</v>
      </c>
      <c r="AS2" s="10" t="str">
        <f>G19</f>
        <v>--</v>
      </c>
      <c r="AT2" s="10" t="str">
        <f>G20</f>
        <v>--</v>
      </c>
      <c r="AU2" s="10" t="e">
        <f>#REF!</f>
        <v>#REF!</v>
      </c>
      <c r="AV2" s="10" t="str">
        <f>G22</f>
        <v>--</v>
      </c>
      <c r="AW2" s="10" t="str">
        <f>G24</f>
        <v>--</v>
      </c>
    </row>
    <row r="3" spans="1:49" ht="15" customHeight="1">
      <c r="A3" s="243" t="s">
        <v>388</v>
      </c>
      <c r="B3" s="11" t="s">
        <v>389</v>
      </c>
      <c r="C3" s="3"/>
      <c r="D3" s="12"/>
      <c r="E3" s="12"/>
      <c r="F3" s="12"/>
      <c r="G3" s="13" t="str">
        <f>IFERROR(AVERAGE(D3:F3),"--")</f>
        <v>--</v>
      </c>
      <c r="H3" s="14"/>
      <c r="I3" s="12"/>
      <c r="J3" s="12"/>
      <c r="K3" s="12"/>
      <c r="L3" s="13" t="str">
        <f>IFERROR(AVERAGE(I3:K3),"--")</f>
        <v>--</v>
      </c>
      <c r="M3" s="14"/>
      <c r="N3" s="12"/>
      <c r="O3" s="12"/>
      <c r="P3" s="12"/>
      <c r="Q3" s="13" t="str">
        <f>IFERROR(AVERAGE(N3:P3),"--")</f>
        <v>--</v>
      </c>
      <c r="R3" s="15"/>
      <c r="X3" s="5"/>
      <c r="Y3" s="5"/>
      <c r="Z3" s="5"/>
      <c r="AA3" s="5"/>
      <c r="AB3" s="5"/>
      <c r="AC3" s="5" t="s">
        <v>106</v>
      </c>
      <c r="AD3" s="9" t="s">
        <v>252</v>
      </c>
      <c r="AE3" s="10" t="str">
        <f>+L3</f>
        <v>--</v>
      </c>
      <c r="AF3" s="10" t="str">
        <f>+L4</f>
        <v>--</v>
      </c>
      <c r="AG3" s="10"/>
      <c r="AH3" s="10" t="str">
        <f>+L5</f>
        <v>--</v>
      </c>
      <c r="AI3" s="10" t="str">
        <f>+L7</f>
        <v>--</v>
      </c>
      <c r="AJ3" s="10" t="str">
        <f>+L8</f>
        <v>--</v>
      </c>
      <c r="AK3" s="10" t="str">
        <f>L9</f>
        <v>--</v>
      </c>
      <c r="AL3" s="10" t="str">
        <f>L11</f>
        <v>--</v>
      </c>
      <c r="AM3" s="10" t="str">
        <f>L12</f>
        <v>--</v>
      </c>
      <c r="AN3" s="10" t="str">
        <f>+G14</f>
        <v>--</v>
      </c>
      <c r="AO3" s="10" t="str">
        <f>L14</f>
        <v>--</v>
      </c>
      <c r="AP3" s="10" t="str">
        <f>L15</f>
        <v>--</v>
      </c>
      <c r="AQ3" s="10" t="str">
        <f>L17</f>
        <v>--</v>
      </c>
      <c r="AR3" s="10" t="str">
        <f>L18</f>
        <v>--</v>
      </c>
      <c r="AS3" s="10" t="str">
        <f>L19</f>
        <v>--</v>
      </c>
      <c r="AT3" s="10" t="str">
        <f>L20</f>
        <v>--</v>
      </c>
      <c r="AU3" s="10" t="e">
        <f>#REF!</f>
        <v>#REF!</v>
      </c>
      <c r="AV3" s="10" t="str">
        <f>L22</f>
        <v>--</v>
      </c>
      <c r="AW3" s="10" t="str">
        <f>L24</f>
        <v>--</v>
      </c>
    </row>
    <row r="4" spans="1:49" ht="15" customHeight="1">
      <c r="A4" s="243"/>
      <c r="B4" s="11" t="s">
        <v>390</v>
      </c>
      <c r="C4" s="3"/>
      <c r="D4" s="12"/>
      <c r="E4" s="12"/>
      <c r="F4" s="12"/>
      <c r="G4" s="13" t="str">
        <f>IFERROR(AVERAGE(D4:F4),"--")</f>
        <v>--</v>
      </c>
      <c r="H4" s="14"/>
      <c r="I4" s="12"/>
      <c r="J4" s="12"/>
      <c r="K4" s="12"/>
      <c r="L4" s="13" t="str">
        <f>IFERROR(AVERAGE(I4:K4),"--")</f>
        <v>--</v>
      </c>
      <c r="M4" s="14"/>
      <c r="N4" s="12"/>
      <c r="O4" s="12"/>
      <c r="P4" s="12"/>
      <c r="Q4" s="13" t="str">
        <f>IFERROR(AVERAGE(N4:P4),"--")</f>
        <v>--</v>
      </c>
      <c r="R4" s="15"/>
      <c r="X4" s="5"/>
      <c r="Y4" s="5"/>
      <c r="Z4" s="5"/>
      <c r="AA4" s="5"/>
      <c r="AB4" s="5"/>
      <c r="AC4" s="5" t="s">
        <v>107</v>
      </c>
      <c r="AD4" s="9" t="s">
        <v>252</v>
      </c>
      <c r="AE4" s="10" t="str">
        <f>+Q3</f>
        <v>--</v>
      </c>
      <c r="AF4" s="10" t="str">
        <f>+Q4</f>
        <v>--</v>
      </c>
      <c r="AG4" s="10"/>
      <c r="AH4" s="10" t="str">
        <f>+Q5</f>
        <v>--</v>
      </c>
      <c r="AI4" s="10" t="str">
        <f>+Q7</f>
        <v>--</v>
      </c>
      <c r="AJ4" s="10" t="str">
        <f>Q8</f>
        <v>--</v>
      </c>
      <c r="AK4" s="10" t="str">
        <f>Q9</f>
        <v>--</v>
      </c>
      <c r="AL4" s="10" t="str">
        <f>Q11</f>
        <v>--</v>
      </c>
      <c r="AM4" s="10" t="str">
        <f>Q12</f>
        <v>--</v>
      </c>
      <c r="AN4" s="10" t="str">
        <f>+G15</f>
        <v>--</v>
      </c>
      <c r="AO4" s="10" t="str">
        <f>Q14</f>
        <v>--</v>
      </c>
      <c r="AP4" s="10" t="str">
        <f>Q15</f>
        <v>--</v>
      </c>
      <c r="AQ4" s="10" t="str">
        <f>Q17</f>
        <v>--</v>
      </c>
      <c r="AR4" s="10" t="str">
        <f>Q18</f>
        <v>--</v>
      </c>
      <c r="AS4" s="10" t="str">
        <f>Q19</f>
        <v>--</v>
      </c>
      <c r="AT4" s="10" t="str">
        <f>Q20</f>
        <v>--</v>
      </c>
      <c r="AU4" s="10" t="e">
        <f>#REF!</f>
        <v>#REF!</v>
      </c>
      <c r="AV4" s="10" t="str">
        <f>Q22</f>
        <v>--</v>
      </c>
      <c r="AW4" s="10">
        <f>26</f>
        <v>26</v>
      </c>
    </row>
    <row r="5" spans="1:49" ht="15" customHeight="1">
      <c r="A5" s="243"/>
      <c r="B5" s="11" t="s">
        <v>391</v>
      </c>
      <c r="C5" s="3"/>
      <c r="D5" s="12"/>
      <c r="E5" s="12"/>
      <c r="F5" s="12"/>
      <c r="G5" s="13" t="str">
        <f>IFERROR(AVERAGE(D5:F5),"--")</f>
        <v>--</v>
      </c>
      <c r="H5" s="14"/>
      <c r="I5" s="12"/>
      <c r="J5" s="12"/>
      <c r="K5" s="12"/>
      <c r="L5" s="13" t="str">
        <f>IFERROR(AVERAGE(I5:K5),"--")</f>
        <v>--</v>
      </c>
      <c r="M5" s="14"/>
      <c r="N5" s="12"/>
      <c r="O5" s="12"/>
      <c r="P5" s="12"/>
      <c r="Q5" s="13" t="str">
        <f>IFERROR(AVERAGE(N5:P5),"--")</f>
        <v>--</v>
      </c>
      <c r="R5" s="15"/>
    </row>
    <row r="6" spans="1:49" ht="8.1" customHeight="1">
      <c r="A6" s="16"/>
      <c r="B6" s="17"/>
      <c r="C6" s="3"/>
      <c r="D6" s="18"/>
      <c r="E6" s="18"/>
      <c r="F6" s="18"/>
      <c r="G6" s="19"/>
      <c r="H6" s="18"/>
      <c r="I6" s="18"/>
      <c r="J6" s="18"/>
      <c r="K6" s="18"/>
      <c r="L6" s="19"/>
      <c r="M6" s="18"/>
      <c r="N6" s="18"/>
      <c r="O6" s="18"/>
      <c r="P6" s="18"/>
      <c r="Q6" s="19"/>
      <c r="R6" s="18"/>
    </row>
    <row r="7" spans="1:49" ht="15" customHeight="1">
      <c r="A7" s="244" t="s">
        <v>392</v>
      </c>
      <c r="B7" s="11" t="s">
        <v>350</v>
      </c>
      <c r="C7" s="3"/>
      <c r="D7" s="12"/>
      <c r="E7" s="12"/>
      <c r="F7" s="12"/>
      <c r="G7" s="13" t="str">
        <f>IFERROR(AVERAGE(D7:F7),"--")</f>
        <v>--</v>
      </c>
      <c r="H7" s="14"/>
      <c r="I7" s="12"/>
      <c r="J7" s="12"/>
      <c r="K7" s="12"/>
      <c r="L7" s="13" t="str">
        <f>IFERROR(AVERAGE(I7:K7),"--")</f>
        <v>--</v>
      </c>
      <c r="M7" s="14"/>
      <c r="N7" s="12"/>
      <c r="O7" s="12"/>
      <c r="P7" s="12"/>
      <c r="Q7" s="13" t="str">
        <f>IFERROR(AVERAGE(N7:P7),"--")</f>
        <v>--</v>
      </c>
      <c r="R7" s="15"/>
      <c r="S7" s="240" t="s">
        <v>409</v>
      </c>
    </row>
    <row r="8" spans="1:49" ht="15" customHeight="1">
      <c r="A8" s="245"/>
      <c r="B8" s="11" t="s">
        <v>393</v>
      </c>
      <c r="C8" s="3"/>
      <c r="D8" s="12"/>
      <c r="E8" s="12"/>
      <c r="F8" s="12"/>
      <c r="G8" s="13" t="str">
        <f>IFERROR(AVERAGE(D8:F8),"--")</f>
        <v>--</v>
      </c>
      <c r="H8" s="14"/>
      <c r="I8" s="12"/>
      <c r="J8" s="12"/>
      <c r="K8" s="12"/>
      <c r="L8" s="13" t="str">
        <f>IFERROR(AVERAGE(I8:K8),"--")</f>
        <v>--</v>
      </c>
      <c r="M8" s="14"/>
      <c r="N8" s="12"/>
      <c r="O8" s="12"/>
      <c r="P8" s="12"/>
      <c r="Q8" s="13" t="str">
        <f>IFERROR(AVERAGE(N8:P8),"--")</f>
        <v>--</v>
      </c>
      <c r="R8" s="15"/>
      <c r="S8" s="241"/>
    </row>
    <row r="9" spans="1:49" ht="15" customHeight="1">
      <c r="A9" s="246"/>
      <c r="B9" s="11" t="s">
        <v>394</v>
      </c>
      <c r="C9" s="3"/>
      <c r="D9" s="12"/>
      <c r="E9" s="12"/>
      <c r="F9" s="12"/>
      <c r="G9" s="13" t="str">
        <f>IFERROR(AVERAGE(D9:F9),"--")</f>
        <v>--</v>
      </c>
      <c r="H9" s="14"/>
      <c r="I9" s="12"/>
      <c r="J9" s="12"/>
      <c r="K9" s="12"/>
      <c r="L9" s="13" t="str">
        <f>IFERROR(AVERAGE(I9:K9),"--")</f>
        <v>--</v>
      </c>
      <c r="M9" s="14"/>
      <c r="N9" s="12"/>
      <c r="O9" s="12"/>
      <c r="P9" s="12"/>
      <c r="Q9" s="13" t="str">
        <f>IFERROR(AVERAGE(N9:P9),"--")</f>
        <v>--</v>
      </c>
      <c r="R9" s="15"/>
      <c r="S9" s="241"/>
    </row>
    <row r="10" spans="1:49" ht="8.1" customHeight="1">
      <c r="A10" s="16"/>
      <c r="B10" s="17"/>
      <c r="C10" s="3"/>
      <c r="D10" s="18"/>
      <c r="E10" s="18"/>
      <c r="F10" s="18"/>
      <c r="G10" s="19"/>
      <c r="H10" s="18"/>
      <c r="I10" s="18"/>
      <c r="J10" s="18"/>
      <c r="K10" s="18"/>
      <c r="L10" s="19"/>
      <c r="M10" s="18"/>
      <c r="N10" s="18"/>
      <c r="O10" s="18"/>
      <c r="P10" s="18"/>
      <c r="Q10" s="19"/>
      <c r="R10" s="18"/>
    </row>
    <row r="11" spans="1:49" ht="15" customHeight="1">
      <c r="A11" s="234" t="s">
        <v>395</v>
      </c>
      <c r="B11" s="11" t="s">
        <v>389</v>
      </c>
      <c r="C11" s="3"/>
      <c r="D11" s="12"/>
      <c r="E11" s="12"/>
      <c r="F11" s="12"/>
      <c r="G11" s="13" t="str">
        <f>IFERROR(AVERAGE(D11:F11),"--")</f>
        <v>--</v>
      </c>
      <c r="H11" s="14"/>
      <c r="I11" s="12"/>
      <c r="J11" s="12"/>
      <c r="K11" s="12"/>
      <c r="L11" s="13" t="str">
        <f>IFERROR(AVERAGE(I11:K11),"--")</f>
        <v>--</v>
      </c>
      <c r="M11" s="14"/>
      <c r="N11" s="12"/>
      <c r="O11" s="12"/>
      <c r="P11" s="12"/>
      <c r="Q11" s="13" t="str">
        <f>IFERROR(AVERAGE(N11:P11),"--")</f>
        <v>--</v>
      </c>
      <c r="R11" s="15"/>
    </row>
    <row r="12" spans="1:49" ht="15" customHeight="1">
      <c r="A12" s="235"/>
      <c r="B12" s="11" t="s">
        <v>396</v>
      </c>
      <c r="C12" s="3"/>
      <c r="D12" s="12"/>
      <c r="E12" s="12"/>
      <c r="F12" s="12"/>
      <c r="G12" s="13" t="str">
        <f>IFERROR(AVERAGE(D12:F12),"--")</f>
        <v>--</v>
      </c>
      <c r="H12" s="14"/>
      <c r="I12" s="12"/>
      <c r="J12" s="12"/>
      <c r="K12" s="12"/>
      <c r="L12" s="13" t="str">
        <f>IFERROR(AVERAGE(I12:K12),"--")</f>
        <v>--</v>
      </c>
      <c r="M12" s="14"/>
      <c r="N12" s="12"/>
      <c r="O12" s="12"/>
      <c r="P12" s="12"/>
      <c r="Q12" s="13" t="str">
        <f>IFERROR(AVERAGE(N12:P12),"--")</f>
        <v>--</v>
      </c>
      <c r="R12" s="15"/>
    </row>
    <row r="13" spans="1:49" ht="15" customHeight="1">
      <c r="A13" s="235"/>
      <c r="B13" s="11" t="s">
        <v>397</v>
      </c>
      <c r="C13" s="3"/>
      <c r="D13" s="12"/>
      <c r="E13" s="12"/>
      <c r="F13" s="12"/>
      <c r="G13" s="13" t="str">
        <f>IFERROR(AVERAGE(D13:F13),"--")</f>
        <v>--</v>
      </c>
      <c r="H13" s="14"/>
      <c r="I13" s="12"/>
      <c r="J13" s="12"/>
      <c r="K13" s="12"/>
      <c r="L13" s="13" t="str">
        <f>IFERROR(AVERAGE(I13:K13),"--")</f>
        <v>--</v>
      </c>
      <c r="M13" s="14"/>
      <c r="N13" s="12"/>
      <c r="O13" s="12"/>
      <c r="P13" s="12"/>
      <c r="Q13" s="13" t="str">
        <f>IFERROR(AVERAGE(N13:P13),"--")</f>
        <v>--</v>
      </c>
      <c r="R13" s="15"/>
    </row>
    <row r="14" spans="1:49" ht="15" customHeight="1">
      <c r="A14" s="235"/>
      <c r="B14" s="11" t="s">
        <v>398</v>
      </c>
      <c r="C14" s="3"/>
      <c r="D14" s="12"/>
      <c r="E14" s="12"/>
      <c r="F14" s="12"/>
      <c r="G14" s="13" t="str">
        <f>IFERROR(AVERAGE(D14:F14),"--")</f>
        <v>--</v>
      </c>
      <c r="H14" s="14"/>
      <c r="I14" s="12"/>
      <c r="J14" s="12"/>
      <c r="K14" s="12"/>
      <c r="L14" s="13" t="str">
        <f>IFERROR(AVERAGE(I14:K14),"--")</f>
        <v>--</v>
      </c>
      <c r="M14" s="14"/>
      <c r="N14" s="12"/>
      <c r="O14" s="12"/>
      <c r="P14" s="12"/>
      <c r="Q14" s="13" t="str">
        <f>IFERROR(AVERAGE(N14:P14),"--")</f>
        <v>--</v>
      </c>
      <c r="R14" s="15"/>
    </row>
    <row r="15" spans="1:49" ht="15" customHeight="1">
      <c r="A15" s="236"/>
      <c r="B15" s="11" t="s">
        <v>399</v>
      </c>
      <c r="C15" s="3"/>
      <c r="D15" s="12"/>
      <c r="E15" s="12"/>
      <c r="F15" s="12"/>
      <c r="G15" s="13" t="str">
        <f>IFERROR(AVERAGE(D15:F15),"--")</f>
        <v>--</v>
      </c>
      <c r="H15" s="14"/>
      <c r="I15" s="12"/>
      <c r="J15" s="12"/>
      <c r="K15" s="12"/>
      <c r="L15" s="13" t="str">
        <f>IFERROR(AVERAGE(I15:K15),"--")</f>
        <v>--</v>
      </c>
      <c r="M15" s="14"/>
      <c r="N15" s="12"/>
      <c r="O15" s="12"/>
      <c r="P15" s="12"/>
      <c r="Q15" s="13" t="str">
        <f>IFERROR(AVERAGE(N15:P15),"--")</f>
        <v>--</v>
      </c>
      <c r="R15" s="15"/>
    </row>
    <row r="16" spans="1:49" ht="8.1" customHeight="1">
      <c r="A16" s="16"/>
      <c r="B16" s="17"/>
      <c r="C16" s="3"/>
      <c r="D16" s="18"/>
      <c r="E16" s="18"/>
      <c r="F16" s="18"/>
      <c r="G16" s="19"/>
      <c r="H16" s="18"/>
      <c r="I16" s="18"/>
      <c r="J16" s="18"/>
      <c r="K16" s="18"/>
      <c r="L16" s="19"/>
      <c r="M16" s="18"/>
      <c r="N16" s="18"/>
      <c r="O16" s="18"/>
      <c r="P16" s="18"/>
      <c r="Q16" s="19"/>
      <c r="R16" s="18"/>
    </row>
    <row r="17" spans="1:19" ht="15" customHeight="1">
      <c r="A17" s="237" t="s">
        <v>400</v>
      </c>
      <c r="B17" s="11" t="s">
        <v>389</v>
      </c>
      <c r="C17" s="3"/>
      <c r="D17" s="12"/>
      <c r="E17" s="12"/>
      <c r="F17" s="12"/>
      <c r="G17" s="13" t="str">
        <f>IFERROR(AVERAGE(D17:F17),"--")</f>
        <v>--</v>
      </c>
      <c r="H17" s="14"/>
      <c r="I17" s="12"/>
      <c r="J17" s="12"/>
      <c r="K17" s="12"/>
      <c r="L17" s="13" t="str">
        <f>IFERROR(AVERAGE(I17:K17),"--")</f>
        <v>--</v>
      </c>
      <c r="M17" s="14"/>
      <c r="N17" s="12"/>
      <c r="O17" s="12"/>
      <c r="P17" s="12"/>
      <c r="Q17" s="13" t="str">
        <f>IFERROR(AVERAGE(N17:P17),"--")</f>
        <v>--</v>
      </c>
      <c r="R17" s="15"/>
    </row>
    <row r="18" spans="1:19" ht="15" customHeight="1">
      <c r="A18" s="238"/>
      <c r="B18" s="11" t="s">
        <v>401</v>
      </c>
      <c r="C18" s="3"/>
      <c r="D18" s="12"/>
      <c r="E18" s="12"/>
      <c r="F18" s="12"/>
      <c r="G18" s="13" t="str">
        <f>IFERROR(AVERAGE(D18:F18),"--")</f>
        <v>--</v>
      </c>
      <c r="H18" s="14"/>
      <c r="I18" s="12"/>
      <c r="J18" s="12"/>
      <c r="K18" s="12"/>
      <c r="L18" s="13" t="str">
        <f>IFERROR(AVERAGE(I18:K18),"--")</f>
        <v>--</v>
      </c>
      <c r="M18" s="14"/>
      <c r="N18" s="12"/>
      <c r="O18" s="12"/>
      <c r="P18" s="12"/>
      <c r="Q18" s="13" t="str">
        <f>IFERROR(AVERAGE(N18:P18),"--")</f>
        <v>--</v>
      </c>
      <c r="R18" s="15"/>
    </row>
    <row r="19" spans="1:19" ht="15" customHeight="1">
      <c r="A19" s="238"/>
      <c r="B19" s="11" t="s">
        <v>402</v>
      </c>
      <c r="C19" s="3"/>
      <c r="D19" s="12"/>
      <c r="E19" s="12"/>
      <c r="F19" s="12"/>
      <c r="G19" s="13" t="str">
        <f>IFERROR(AVERAGE(D19:F19),"--")</f>
        <v>--</v>
      </c>
      <c r="H19" s="14"/>
      <c r="I19" s="12"/>
      <c r="J19" s="12"/>
      <c r="K19" s="12"/>
      <c r="L19" s="13" t="str">
        <f>IFERROR(AVERAGE(I19:K19),"--")</f>
        <v>--</v>
      </c>
      <c r="M19" s="14"/>
      <c r="N19" s="12"/>
      <c r="O19" s="12"/>
      <c r="P19" s="12"/>
      <c r="Q19" s="13" t="str">
        <f>IFERROR(AVERAGE(N19:P19),"--")</f>
        <v>--</v>
      </c>
      <c r="R19" s="15"/>
    </row>
    <row r="20" spans="1:19" ht="15" customHeight="1">
      <c r="A20" s="238"/>
      <c r="B20" s="11" t="s">
        <v>403</v>
      </c>
      <c r="C20" s="3"/>
      <c r="D20" s="12"/>
      <c r="E20" s="12"/>
      <c r="F20" s="12"/>
      <c r="G20" s="13" t="str">
        <f>IFERROR(AVERAGE(D20:F20),"--")</f>
        <v>--</v>
      </c>
      <c r="H20" s="14"/>
      <c r="I20" s="12"/>
      <c r="J20" s="12"/>
      <c r="K20" s="12"/>
      <c r="L20" s="13" t="str">
        <f>IFERROR(AVERAGE(I20:K20),"--")</f>
        <v>--</v>
      </c>
      <c r="M20" s="14"/>
      <c r="N20" s="12"/>
      <c r="O20" s="12"/>
      <c r="P20" s="12"/>
      <c r="Q20" s="13" t="str">
        <f>IFERROR(AVERAGE(N20:P20),"--")</f>
        <v>--</v>
      </c>
      <c r="R20" s="15"/>
    </row>
    <row r="21" spans="1:19" ht="8.1" customHeight="1">
      <c r="A21" s="16"/>
      <c r="B21" s="17"/>
      <c r="C21" s="3"/>
      <c r="D21" s="18"/>
      <c r="E21" s="18"/>
      <c r="F21" s="18"/>
      <c r="G21" s="19"/>
      <c r="H21" s="18"/>
      <c r="I21" s="18"/>
      <c r="J21" s="18"/>
      <c r="K21" s="18"/>
      <c r="L21" s="19"/>
      <c r="M21" s="18"/>
      <c r="N21" s="18"/>
      <c r="O21" s="18"/>
      <c r="P21" s="18"/>
      <c r="Q21" s="19"/>
      <c r="R21" s="18"/>
    </row>
    <row r="22" spans="1:19" ht="15" customHeight="1">
      <c r="A22" s="20" t="s">
        <v>404</v>
      </c>
      <c r="B22" s="11" t="s">
        <v>334</v>
      </c>
      <c r="C22" s="3"/>
      <c r="D22" s="21"/>
      <c r="E22" s="21"/>
      <c r="F22" s="21"/>
      <c r="G22" s="13" t="str">
        <f>IFERROR(AVERAGE(D22:F22),"--")</f>
        <v>--</v>
      </c>
      <c r="H22" s="14"/>
      <c r="I22" s="21"/>
      <c r="J22" s="21"/>
      <c r="K22" s="21"/>
      <c r="L22" s="13" t="str">
        <f>IFERROR(AVERAGE(I22:K22),"--")</f>
        <v>--</v>
      </c>
      <c r="M22" s="14"/>
      <c r="N22" s="134"/>
      <c r="O22" s="134"/>
      <c r="P22" s="134"/>
      <c r="Q22" s="13" t="str">
        <f>IFERROR(AVERAGE(N22:P22),"--")</f>
        <v>--</v>
      </c>
      <c r="R22" s="15"/>
      <c r="S22" s="153" t="s">
        <v>412</v>
      </c>
    </row>
    <row r="23" spans="1:19" ht="8.1" customHeight="1">
      <c r="A23" s="16"/>
      <c r="B23" s="17"/>
      <c r="C23" s="3"/>
      <c r="D23" s="22"/>
      <c r="E23" s="22"/>
      <c r="F23" s="22"/>
      <c r="G23" s="19"/>
      <c r="H23" s="18"/>
      <c r="I23" s="22"/>
      <c r="J23" s="22"/>
      <c r="K23" s="22"/>
      <c r="L23" s="19"/>
      <c r="M23" s="18"/>
      <c r="N23" s="22"/>
      <c r="O23" s="22"/>
      <c r="P23" s="22"/>
      <c r="Q23" s="19"/>
      <c r="R23" s="18"/>
    </row>
    <row r="24" spans="1:19" ht="14.25" customHeight="1">
      <c r="A24" s="20" t="s">
        <v>405</v>
      </c>
      <c r="B24" s="11" t="s">
        <v>334</v>
      </c>
      <c r="C24" s="3"/>
      <c r="D24" s="21"/>
      <c r="E24" s="21"/>
      <c r="F24" s="21"/>
      <c r="G24" s="13" t="str">
        <f>IFERROR(AVERAGE(D24:F24),"--")</f>
        <v>--</v>
      </c>
      <c r="H24" s="14"/>
      <c r="I24" s="21"/>
      <c r="J24" s="21"/>
      <c r="K24" s="21"/>
      <c r="L24" s="13" t="str">
        <f>IFERROR(AVERAGE(I24:K24),"--")</f>
        <v>--</v>
      </c>
      <c r="M24" s="14"/>
      <c r="N24" s="21"/>
      <c r="O24" s="21"/>
      <c r="P24" s="21"/>
      <c r="Q24" s="13" t="str">
        <f>IFERROR(AVERAGE(N24:P24),"--")</f>
        <v>--</v>
      </c>
      <c r="R24" s="15"/>
      <c r="S24" s="153" t="s">
        <v>412</v>
      </c>
    </row>
    <row r="25" spans="1:19" ht="8.1" customHeight="1">
      <c r="A25" s="16"/>
      <c r="B25" s="17"/>
      <c r="C25" s="3"/>
      <c r="D25" s="22"/>
      <c r="E25" s="22"/>
      <c r="F25" s="22"/>
      <c r="G25" s="19"/>
      <c r="H25" s="18"/>
      <c r="I25" s="22"/>
      <c r="J25" s="22"/>
      <c r="K25" s="22"/>
      <c r="L25" s="19"/>
      <c r="M25" s="18"/>
      <c r="N25" s="22"/>
      <c r="O25" s="22"/>
      <c r="P25" s="22"/>
      <c r="Q25" s="19"/>
      <c r="R25" s="18"/>
    </row>
    <row r="26" spans="1:19" ht="15.75" customHeight="1">
      <c r="A26" s="23"/>
    </row>
    <row r="27" spans="1:19" ht="15.75" customHeight="1">
      <c r="A27" s="23"/>
    </row>
    <row r="28" spans="1:19" ht="15.75" customHeight="1">
      <c r="A28" s="23"/>
    </row>
    <row r="29" spans="1:19" ht="15.75" customHeight="1"/>
    <row r="30" spans="1:19" ht="15.75" customHeight="1"/>
    <row r="31" spans="1:19" ht="15.75" customHeight="1"/>
    <row r="32" spans="1:19" ht="15.75" customHeight="1">
      <c r="A32" s="23"/>
    </row>
    <row r="33" spans="1:1" ht="15.75" customHeight="1">
      <c r="A33" s="23"/>
    </row>
    <row r="34" spans="1:1" ht="15.75" customHeight="1">
      <c r="A34" s="23"/>
    </row>
    <row r="35" spans="1:1" ht="15.75" customHeight="1">
      <c r="A35" s="23"/>
    </row>
    <row r="36" spans="1:1" ht="15.75" customHeight="1">
      <c r="A36" s="23"/>
    </row>
    <row r="37" spans="1:1" ht="15.75" customHeight="1">
      <c r="A37" s="23"/>
    </row>
    <row r="38" spans="1:1" ht="15.75" customHeight="1">
      <c r="A38" s="23"/>
    </row>
    <row r="39" spans="1:1" ht="15.75" customHeight="1">
      <c r="A39" s="23"/>
    </row>
    <row r="40" spans="1:1" ht="15.75" customHeight="1">
      <c r="A40" s="23"/>
    </row>
    <row r="41" spans="1:1" ht="15.75" customHeight="1">
      <c r="A41" s="23"/>
    </row>
    <row r="42" spans="1:1" ht="15.75" customHeight="1">
      <c r="A42" s="23"/>
    </row>
    <row r="43" spans="1:1" ht="15.75" customHeight="1">
      <c r="A43" s="23"/>
    </row>
    <row r="44" spans="1:1" ht="15.75" customHeight="1">
      <c r="A44" s="23"/>
    </row>
    <row r="45" spans="1:1" ht="15.75" customHeight="1">
      <c r="A45" s="23"/>
    </row>
    <row r="46" spans="1:1" ht="15.75" customHeight="1">
      <c r="A46" s="23"/>
    </row>
    <row r="47" spans="1:1" ht="15.75" customHeight="1">
      <c r="A47" s="23"/>
    </row>
    <row r="48" spans="1:1" ht="15.75" customHeight="1">
      <c r="A48" s="23"/>
    </row>
    <row r="49" spans="1:1" ht="15.75" customHeight="1">
      <c r="A49" s="23"/>
    </row>
    <row r="50" spans="1:1" ht="15.75" customHeight="1">
      <c r="A50" s="23"/>
    </row>
    <row r="51" spans="1:1" ht="15.75" customHeight="1">
      <c r="A51" s="23"/>
    </row>
    <row r="52" spans="1:1" ht="15.75" customHeight="1">
      <c r="A52" s="23"/>
    </row>
    <row r="53" spans="1:1" ht="15.75" customHeight="1">
      <c r="A53" s="23"/>
    </row>
    <row r="54" spans="1:1" ht="15.75" customHeight="1">
      <c r="A54" s="23"/>
    </row>
    <row r="55" spans="1:1" ht="15.75" customHeight="1">
      <c r="A55" s="23"/>
    </row>
    <row r="56" spans="1:1" ht="15.75" customHeight="1">
      <c r="A56" s="23"/>
    </row>
    <row r="57" spans="1:1" ht="15.75" customHeight="1">
      <c r="A57" s="23"/>
    </row>
    <row r="58" spans="1:1" ht="15.75" customHeight="1">
      <c r="A58" s="23"/>
    </row>
    <row r="59" spans="1:1" ht="15.75" customHeight="1">
      <c r="A59" s="23"/>
    </row>
    <row r="60" spans="1:1" ht="15.75" customHeight="1">
      <c r="A60" s="23"/>
    </row>
    <row r="61" spans="1:1" ht="15.75" customHeight="1">
      <c r="A61" s="23"/>
    </row>
    <row r="62" spans="1:1" ht="15.75" customHeight="1">
      <c r="A62" s="23"/>
    </row>
    <row r="63" spans="1:1" ht="15.75" customHeight="1">
      <c r="A63" s="23"/>
    </row>
    <row r="64" spans="1:1" ht="15.75" customHeight="1">
      <c r="A64" s="23"/>
    </row>
    <row r="65" spans="1:1" ht="15.75" customHeight="1">
      <c r="A65" s="23"/>
    </row>
    <row r="66" spans="1:1" ht="15.75" customHeight="1">
      <c r="A66" s="23"/>
    </row>
    <row r="67" spans="1:1" ht="15.75" customHeight="1">
      <c r="A67" s="23"/>
    </row>
    <row r="68" spans="1:1" ht="15.75" customHeight="1">
      <c r="A68" s="23"/>
    </row>
    <row r="69" spans="1:1" ht="15.75" customHeight="1">
      <c r="A69" s="23"/>
    </row>
    <row r="70" spans="1:1" ht="15.75" customHeight="1">
      <c r="A70" s="23"/>
    </row>
    <row r="71" spans="1:1" ht="15.75" customHeight="1">
      <c r="A71" s="23"/>
    </row>
    <row r="72" spans="1:1" ht="15.75" customHeight="1">
      <c r="A72" s="23"/>
    </row>
    <row r="73" spans="1:1" ht="15.75" customHeight="1">
      <c r="A73" s="23"/>
    </row>
    <row r="74" spans="1:1" ht="15.75" customHeight="1">
      <c r="A74" s="23"/>
    </row>
    <row r="75" spans="1:1" ht="15.75" customHeight="1">
      <c r="A75" s="23"/>
    </row>
    <row r="76" spans="1:1" ht="15.75" customHeight="1">
      <c r="A76" s="23"/>
    </row>
    <row r="77" spans="1:1" ht="15.75" customHeight="1">
      <c r="A77" s="23"/>
    </row>
    <row r="78" spans="1:1" ht="15.75" customHeight="1">
      <c r="A78" s="23"/>
    </row>
    <row r="79" spans="1:1" ht="15.75" customHeight="1">
      <c r="A79" s="23"/>
    </row>
    <row r="80" spans="1:1" ht="15.75" customHeight="1">
      <c r="A80" s="23"/>
    </row>
    <row r="81" spans="1:1" ht="15.75" customHeight="1">
      <c r="A81" s="23"/>
    </row>
    <row r="82" spans="1:1" ht="15.75" customHeight="1">
      <c r="A82" s="23"/>
    </row>
    <row r="83" spans="1:1" ht="15.75" customHeight="1">
      <c r="A83" s="23"/>
    </row>
    <row r="84" spans="1:1" ht="15.75" customHeight="1">
      <c r="A84" s="23"/>
    </row>
    <row r="85" spans="1:1" ht="15.75" customHeight="1">
      <c r="A85" s="23"/>
    </row>
    <row r="86" spans="1:1" ht="15.75" customHeight="1">
      <c r="A86" s="23"/>
    </row>
    <row r="87" spans="1:1" ht="15.75" customHeight="1">
      <c r="A87" s="23"/>
    </row>
    <row r="88" spans="1:1" ht="15.75" customHeight="1">
      <c r="A88" s="23"/>
    </row>
    <row r="89" spans="1:1" ht="15.75" customHeight="1">
      <c r="A89" s="23"/>
    </row>
    <row r="90" spans="1:1" ht="15.75" customHeight="1">
      <c r="A90" s="23"/>
    </row>
    <row r="91" spans="1:1" ht="15.75" customHeight="1">
      <c r="A91" s="23"/>
    </row>
    <row r="92" spans="1:1" ht="15.75" customHeight="1">
      <c r="A92" s="23"/>
    </row>
    <row r="93" spans="1:1" ht="15.75" customHeight="1">
      <c r="A93" s="23"/>
    </row>
    <row r="94" spans="1:1" ht="15.75" customHeight="1">
      <c r="A94" s="23"/>
    </row>
    <row r="95" spans="1:1" ht="15.75" customHeight="1">
      <c r="A95" s="23"/>
    </row>
    <row r="96" spans="1:1" ht="15.75" customHeight="1">
      <c r="A96" s="23"/>
    </row>
    <row r="97" spans="1:1" ht="15.75" customHeight="1">
      <c r="A97" s="23"/>
    </row>
    <row r="98" spans="1:1" ht="15.75" customHeight="1">
      <c r="A98" s="23"/>
    </row>
    <row r="99" spans="1:1" ht="15.75" customHeight="1">
      <c r="A99" s="23"/>
    </row>
    <row r="100" spans="1:1" ht="15.75" customHeight="1">
      <c r="A100" s="23"/>
    </row>
    <row r="101" spans="1:1" ht="15.75" customHeight="1">
      <c r="A101" s="23"/>
    </row>
    <row r="102" spans="1:1" ht="15.75" customHeight="1">
      <c r="A102" s="23"/>
    </row>
    <row r="103" spans="1:1" ht="15.75" customHeight="1">
      <c r="A103" s="23"/>
    </row>
    <row r="104" spans="1:1" ht="15.75" customHeight="1">
      <c r="A104" s="23"/>
    </row>
    <row r="105" spans="1:1" ht="15.75" customHeight="1">
      <c r="A105" s="23"/>
    </row>
    <row r="106" spans="1:1" ht="15.75" customHeight="1">
      <c r="A106" s="23"/>
    </row>
    <row r="107" spans="1:1" ht="15.75" customHeight="1">
      <c r="A107" s="23"/>
    </row>
    <row r="108" spans="1:1" ht="15.75" customHeight="1">
      <c r="A108" s="23"/>
    </row>
    <row r="109" spans="1:1" ht="15.75" customHeight="1">
      <c r="A109" s="23"/>
    </row>
    <row r="110" spans="1:1" ht="15.75" customHeight="1">
      <c r="A110" s="23"/>
    </row>
    <row r="111" spans="1:1" ht="15.75" customHeight="1">
      <c r="A111" s="23"/>
    </row>
    <row r="112" spans="1:1" ht="15.75" customHeight="1">
      <c r="A112" s="23"/>
    </row>
    <row r="113" spans="1:1" ht="15.75" customHeight="1">
      <c r="A113" s="23"/>
    </row>
    <row r="114" spans="1:1" ht="15.75" customHeight="1">
      <c r="A114" s="23"/>
    </row>
    <row r="115" spans="1:1" ht="15.75" customHeight="1">
      <c r="A115" s="23"/>
    </row>
    <row r="116" spans="1:1" ht="15.75" customHeight="1">
      <c r="A116" s="23"/>
    </row>
    <row r="117" spans="1:1" ht="15.75" customHeight="1">
      <c r="A117" s="23"/>
    </row>
    <row r="118" spans="1:1" ht="15.75" customHeight="1">
      <c r="A118" s="23"/>
    </row>
    <row r="119" spans="1:1" ht="15.75" customHeight="1">
      <c r="A119" s="23"/>
    </row>
    <row r="120" spans="1:1" ht="15.75" customHeight="1">
      <c r="A120" s="23"/>
    </row>
    <row r="121" spans="1:1" ht="15.75" customHeight="1">
      <c r="A121" s="23"/>
    </row>
    <row r="122" spans="1:1" ht="15.75" customHeight="1">
      <c r="A122" s="23"/>
    </row>
    <row r="123" spans="1:1" ht="15.75" customHeight="1">
      <c r="A123" s="23"/>
    </row>
    <row r="124" spans="1:1" ht="15.75" customHeight="1">
      <c r="A124" s="23"/>
    </row>
    <row r="125" spans="1:1" ht="15.75" customHeight="1">
      <c r="A125" s="23"/>
    </row>
    <row r="126" spans="1:1" ht="15.75" customHeight="1">
      <c r="A126" s="23"/>
    </row>
    <row r="127" spans="1:1" ht="15.75" customHeight="1">
      <c r="A127" s="23"/>
    </row>
    <row r="128" spans="1:1" ht="15.75" customHeight="1">
      <c r="A128" s="23"/>
    </row>
    <row r="129" spans="1:1" ht="15.75" customHeight="1">
      <c r="A129" s="23"/>
    </row>
    <row r="130" spans="1:1" ht="15.75" customHeight="1">
      <c r="A130" s="23"/>
    </row>
    <row r="131" spans="1:1" ht="15.75" customHeight="1">
      <c r="A131" s="23"/>
    </row>
    <row r="132" spans="1:1" ht="15.75" customHeight="1">
      <c r="A132" s="23"/>
    </row>
    <row r="133" spans="1:1" ht="15.75" customHeight="1">
      <c r="A133" s="23"/>
    </row>
    <row r="134" spans="1:1" ht="15.75" customHeight="1">
      <c r="A134" s="23"/>
    </row>
    <row r="135" spans="1:1" ht="15.75" customHeight="1">
      <c r="A135" s="23"/>
    </row>
    <row r="136" spans="1:1" ht="15.75" customHeight="1">
      <c r="A136" s="23"/>
    </row>
    <row r="137" spans="1:1" ht="15.75" customHeight="1">
      <c r="A137" s="23"/>
    </row>
    <row r="138" spans="1:1" ht="15.75" customHeight="1">
      <c r="A138" s="23"/>
    </row>
    <row r="139" spans="1:1" ht="15.75" customHeight="1">
      <c r="A139" s="23"/>
    </row>
    <row r="140" spans="1:1" ht="15.75" customHeight="1">
      <c r="A140" s="23"/>
    </row>
    <row r="141" spans="1:1" ht="15.75" customHeight="1">
      <c r="A141" s="23"/>
    </row>
    <row r="142" spans="1:1" ht="15.75" customHeight="1">
      <c r="A142" s="23"/>
    </row>
    <row r="143" spans="1:1" ht="15.75" customHeight="1">
      <c r="A143" s="23"/>
    </row>
    <row r="144" spans="1:1" ht="15.75" customHeight="1">
      <c r="A144" s="23"/>
    </row>
    <row r="145" spans="1:1" ht="15.75" customHeight="1">
      <c r="A145" s="23"/>
    </row>
    <row r="146" spans="1:1" ht="15.75" customHeight="1">
      <c r="A146" s="23"/>
    </row>
    <row r="147" spans="1:1" ht="15.75" customHeight="1">
      <c r="A147" s="23"/>
    </row>
    <row r="148" spans="1:1" ht="15.75" customHeight="1">
      <c r="A148" s="23"/>
    </row>
    <row r="149" spans="1:1" ht="15.75" customHeight="1">
      <c r="A149" s="23"/>
    </row>
    <row r="150" spans="1:1" ht="15.75" customHeight="1">
      <c r="A150" s="23"/>
    </row>
    <row r="151" spans="1:1" ht="15.75" customHeight="1">
      <c r="A151" s="23"/>
    </row>
    <row r="152" spans="1:1" ht="15.75" customHeight="1">
      <c r="A152" s="23"/>
    </row>
    <row r="153" spans="1:1" ht="15.75" customHeight="1">
      <c r="A153" s="23"/>
    </row>
    <row r="154" spans="1:1" ht="15.75" customHeight="1">
      <c r="A154" s="23"/>
    </row>
    <row r="155" spans="1:1" ht="15.75" customHeight="1">
      <c r="A155" s="23"/>
    </row>
    <row r="156" spans="1:1" ht="15.75" customHeight="1">
      <c r="A156" s="23"/>
    </row>
    <row r="157" spans="1:1" ht="15.75" customHeight="1">
      <c r="A157" s="23"/>
    </row>
    <row r="158" spans="1:1" ht="15.75" customHeight="1">
      <c r="A158" s="23"/>
    </row>
    <row r="159" spans="1:1" ht="15.75" customHeight="1">
      <c r="A159" s="23"/>
    </row>
    <row r="160" spans="1:1" ht="15.75" customHeight="1">
      <c r="A160" s="23"/>
    </row>
    <row r="161" spans="1:1" ht="15.75" customHeight="1">
      <c r="A161" s="23"/>
    </row>
    <row r="162" spans="1:1" ht="15.75" customHeight="1">
      <c r="A162" s="23"/>
    </row>
    <row r="163" spans="1:1" ht="15.75" customHeight="1">
      <c r="A163" s="23"/>
    </row>
    <row r="164" spans="1:1" ht="15.75" customHeight="1">
      <c r="A164" s="23"/>
    </row>
    <row r="165" spans="1:1" ht="15.75" customHeight="1">
      <c r="A165" s="23"/>
    </row>
    <row r="166" spans="1:1" ht="15.75" customHeight="1">
      <c r="A166" s="23"/>
    </row>
    <row r="167" spans="1:1" ht="15.75" customHeight="1">
      <c r="A167" s="23"/>
    </row>
    <row r="168" spans="1:1" ht="15.75" customHeight="1">
      <c r="A168" s="23"/>
    </row>
    <row r="169" spans="1:1" ht="15.75" customHeight="1">
      <c r="A169" s="23"/>
    </row>
    <row r="170" spans="1:1" ht="15.75" customHeight="1">
      <c r="A170" s="23"/>
    </row>
    <row r="171" spans="1:1" ht="15.75" customHeight="1">
      <c r="A171" s="23"/>
    </row>
    <row r="172" spans="1:1" ht="15.75" customHeight="1">
      <c r="A172" s="23"/>
    </row>
    <row r="173" spans="1:1" ht="15.75" customHeight="1">
      <c r="A173" s="23"/>
    </row>
    <row r="174" spans="1:1" ht="15.75" customHeight="1">
      <c r="A174" s="23"/>
    </row>
    <row r="175" spans="1:1" ht="15.75" customHeight="1">
      <c r="A175" s="23"/>
    </row>
    <row r="176" spans="1:1" ht="15.75" customHeight="1">
      <c r="A176" s="23"/>
    </row>
    <row r="177" spans="1:1" ht="15.75" customHeight="1">
      <c r="A177" s="23"/>
    </row>
    <row r="178" spans="1:1" ht="15.75" customHeight="1">
      <c r="A178" s="23"/>
    </row>
    <row r="179" spans="1:1" ht="15.75" customHeight="1">
      <c r="A179" s="23"/>
    </row>
    <row r="180" spans="1:1" ht="15.75" customHeight="1">
      <c r="A180" s="23"/>
    </row>
    <row r="181" spans="1:1" ht="15.75" customHeight="1">
      <c r="A181" s="23"/>
    </row>
    <row r="182" spans="1:1" ht="15.75" customHeight="1">
      <c r="A182" s="23"/>
    </row>
    <row r="183" spans="1:1" ht="15.75" customHeight="1">
      <c r="A183" s="23"/>
    </row>
    <row r="184" spans="1:1" ht="15.75" customHeight="1">
      <c r="A184" s="23"/>
    </row>
    <row r="185" spans="1:1" ht="15.75" customHeight="1">
      <c r="A185" s="23"/>
    </row>
    <row r="186" spans="1:1" ht="15.75" customHeight="1">
      <c r="A186" s="23"/>
    </row>
    <row r="187" spans="1:1" ht="15.75" customHeight="1">
      <c r="A187" s="23"/>
    </row>
    <row r="188" spans="1:1" ht="15.75" customHeight="1">
      <c r="A188" s="23"/>
    </row>
    <row r="189" spans="1:1" ht="15.75" customHeight="1">
      <c r="A189" s="23"/>
    </row>
    <row r="190" spans="1:1" ht="15.75" customHeight="1">
      <c r="A190" s="23"/>
    </row>
    <row r="191" spans="1:1" ht="15.75" customHeight="1">
      <c r="A191" s="23"/>
    </row>
    <row r="192" spans="1:1" ht="15.75" customHeight="1">
      <c r="A192" s="23"/>
    </row>
    <row r="193" spans="1:1" ht="15.75" customHeight="1">
      <c r="A193" s="23"/>
    </row>
    <row r="194" spans="1:1" ht="15.75" customHeight="1">
      <c r="A194" s="23"/>
    </row>
    <row r="195" spans="1:1" ht="15.75" customHeight="1">
      <c r="A195" s="23"/>
    </row>
    <row r="196" spans="1:1" ht="15.75" customHeight="1">
      <c r="A196" s="23"/>
    </row>
    <row r="197" spans="1:1" ht="15.75" customHeight="1">
      <c r="A197" s="23"/>
    </row>
    <row r="198" spans="1:1" ht="15.75" customHeight="1">
      <c r="A198" s="23"/>
    </row>
    <row r="199" spans="1:1" ht="15.75" customHeight="1">
      <c r="A199" s="23"/>
    </row>
    <row r="200" spans="1:1" ht="15.75" customHeight="1">
      <c r="A200" s="23"/>
    </row>
    <row r="201" spans="1:1" ht="15.75" customHeight="1">
      <c r="A201" s="23"/>
    </row>
    <row r="202" spans="1:1" ht="15.75" customHeight="1">
      <c r="A202" s="23"/>
    </row>
    <row r="203" spans="1:1" ht="15.75" customHeight="1">
      <c r="A203" s="23"/>
    </row>
    <row r="204" spans="1:1" ht="15.75" customHeight="1">
      <c r="A204" s="23"/>
    </row>
    <row r="205" spans="1:1" ht="15.75" customHeight="1">
      <c r="A205" s="23"/>
    </row>
    <row r="206" spans="1:1" ht="15.75" customHeight="1">
      <c r="A206" s="23"/>
    </row>
    <row r="207" spans="1:1" ht="15.75" customHeight="1">
      <c r="A207" s="23"/>
    </row>
    <row r="208" spans="1:1" ht="15.75" customHeight="1">
      <c r="A208" s="23"/>
    </row>
    <row r="209" spans="1:1" ht="15.75" customHeight="1">
      <c r="A209" s="23"/>
    </row>
    <row r="210" spans="1:1" ht="15.75" customHeight="1">
      <c r="A210" s="23"/>
    </row>
    <row r="211" spans="1:1" ht="15.75" customHeight="1">
      <c r="A211" s="23"/>
    </row>
    <row r="212" spans="1:1" ht="15.75" customHeight="1">
      <c r="A212" s="23"/>
    </row>
    <row r="213" spans="1:1" ht="15.75" customHeight="1">
      <c r="A213" s="23"/>
    </row>
    <row r="214" spans="1:1" ht="15.75" customHeight="1">
      <c r="A214" s="23"/>
    </row>
    <row r="215" spans="1:1" ht="15.75" customHeight="1">
      <c r="A215" s="23"/>
    </row>
    <row r="216" spans="1:1" ht="15.75" customHeight="1">
      <c r="A216" s="23"/>
    </row>
    <row r="217" spans="1:1" ht="15.75" customHeight="1">
      <c r="A217" s="23"/>
    </row>
    <row r="218" spans="1:1" ht="15.75" customHeight="1">
      <c r="A218" s="23"/>
    </row>
    <row r="219" spans="1:1" ht="15.75" customHeight="1">
      <c r="A219" s="23"/>
    </row>
    <row r="220" spans="1:1" ht="15.75" customHeight="1">
      <c r="A220" s="23"/>
    </row>
    <row r="221" spans="1:1" ht="15.75" customHeight="1">
      <c r="A221" s="23"/>
    </row>
    <row r="222" spans="1:1" ht="15.75" customHeight="1">
      <c r="A222" s="23"/>
    </row>
    <row r="223" spans="1:1" ht="15.75" customHeight="1">
      <c r="A223" s="23"/>
    </row>
    <row r="224" spans="1:1" ht="15.75" customHeight="1">
      <c r="A224" s="23"/>
    </row>
    <row r="225" spans="1:1" ht="15.75" customHeight="1">
      <c r="A225" s="23"/>
    </row>
    <row r="226" spans="1:1" ht="15.75" customHeight="1">
      <c r="A226" s="23"/>
    </row>
    <row r="227" spans="1:1" ht="15.75" customHeight="1">
      <c r="A227" s="23"/>
    </row>
    <row r="228" spans="1:1" ht="15.75" customHeight="1">
      <c r="A228" s="23"/>
    </row>
    <row r="229" spans="1:1" ht="15.75" customHeight="1">
      <c r="A229" s="23"/>
    </row>
    <row r="230" spans="1:1" ht="15.75" customHeight="1">
      <c r="A230" s="23"/>
    </row>
    <row r="231" spans="1:1" ht="15.75" customHeight="1">
      <c r="A231" s="23"/>
    </row>
    <row r="232" spans="1:1" ht="15.75" customHeight="1">
      <c r="A232" s="23"/>
    </row>
    <row r="233" spans="1:1" ht="15.75" customHeight="1">
      <c r="A233" s="23"/>
    </row>
    <row r="234" spans="1:1" ht="15.75" customHeight="1">
      <c r="A234" s="23"/>
    </row>
    <row r="235" spans="1:1" ht="15.75" customHeight="1">
      <c r="A235" s="23"/>
    </row>
    <row r="236" spans="1:1" ht="15.75" customHeight="1">
      <c r="A236" s="23"/>
    </row>
  </sheetData>
  <mergeCells count="11">
    <mergeCell ref="A11:A15"/>
    <mergeCell ref="A17:A20"/>
    <mergeCell ref="A1:B1"/>
    <mergeCell ref="S7:S9"/>
    <mergeCell ref="D1:Q1"/>
    <mergeCell ref="A2:B2"/>
    <mergeCell ref="D2:F2"/>
    <mergeCell ref="I2:K2"/>
    <mergeCell ref="N2:P2"/>
    <mergeCell ref="A3:A5"/>
    <mergeCell ref="A7:A9"/>
  </mergeCells>
  <phoneticPr fontId="22" type="noConversion"/>
  <pageMargins left="0.7" right="0.7" top="0.75" bottom="0.75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K264:U264"/>
  <sheetViews>
    <sheetView topLeftCell="A51" zoomScale="40" zoomScaleNormal="40" workbookViewId="0">
      <selection activeCell="AO83" sqref="AO83"/>
    </sheetView>
  </sheetViews>
  <sheetFormatPr defaultColWidth="9" defaultRowHeight="13.8"/>
  <cols>
    <col min="28" max="28" width="18.59765625" customWidth="1"/>
  </cols>
  <sheetData>
    <row r="264" spans="11:21" ht="50.1" customHeight="1">
      <c r="K264" s="1"/>
      <c r="U264" s="1"/>
    </row>
  </sheetData>
  <phoneticPr fontId="22" type="noConversion"/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b53e9b-a26c-4d5d-b9db-1cf2007c3e5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E3C1F29EA4067142A7A29AC67B6BC61E" ma:contentTypeVersion="14" ma:contentTypeDescription="建立新的文件。" ma:contentTypeScope="" ma:versionID="bf9b695e4d4c26d054d24b873cece0ad">
  <xsd:schema xmlns:xsd="http://www.w3.org/2001/XMLSchema" xmlns:xs="http://www.w3.org/2001/XMLSchema" xmlns:p="http://schemas.microsoft.com/office/2006/metadata/properties" xmlns:ns3="22b53e9b-a26c-4d5d-b9db-1cf2007c3e5d" xmlns:ns4="dc388213-d470-4ba7-8ea0-70633adba089" targetNamespace="http://schemas.microsoft.com/office/2006/metadata/properties" ma:root="true" ma:fieldsID="6a754472693632ac5cd86bcd32d6f178" ns3:_="" ns4:_="">
    <xsd:import namespace="22b53e9b-a26c-4d5d-b9db-1cf2007c3e5d"/>
    <xsd:import namespace="dc388213-d470-4ba7-8ea0-70633adba0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b53e9b-a26c-4d5d-b9db-1cf2007c3e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88213-d470-4ba7-8ea0-70633adba0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DE61E-D3EA-4FE8-85CE-6BA32CB47D12}">
  <ds:schemaRefs/>
</ds:datastoreItem>
</file>

<file path=customXml/itemProps2.xml><?xml version="1.0" encoding="utf-8"?>
<ds:datastoreItem xmlns:ds="http://schemas.openxmlformats.org/officeDocument/2006/customXml" ds:itemID="{0036E761-B307-425E-9BAF-B29886658D28}">
  <ds:schemaRefs/>
</ds:datastoreItem>
</file>

<file path=customXml/itemProps3.xml><?xml version="1.0" encoding="utf-8"?>
<ds:datastoreItem xmlns:ds="http://schemas.openxmlformats.org/officeDocument/2006/customXml" ds:itemID="{EBB35081-56D8-4F66-ADD3-E99CAA77F1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Overall status</vt:lpstr>
      <vt:lpstr>Tool Version</vt:lpstr>
      <vt:lpstr>Thermal</vt:lpstr>
      <vt:lpstr>Keyboard Temperature</vt:lpstr>
      <vt:lpstr>Battery life</vt:lpstr>
      <vt:lpstr>Performance</vt:lpstr>
      <vt:lpstr>iGPU</vt:lpstr>
      <vt:lpstr>Creator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Yang(楊舜閔)</dc:creator>
  <cp:keywords>MediaReviewTool 1.3.8.0</cp:keywords>
  <dc:description>TPR</dc:description>
  <cp:lastModifiedBy>Yu.Sandra 游惠雯 IEC1</cp:lastModifiedBy>
  <dcterms:created xsi:type="dcterms:W3CDTF">2020-09-22T08:06:00Z</dcterms:created>
  <dcterms:modified xsi:type="dcterms:W3CDTF">2026-05-12T05:34:57Z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0x010100E3C1F29EA4067142A7A29AC67B6BC61E</vt:lpwstr>
  </property>
  <property fmtid="{D5CDD505-2E9C-101B-9397-08002B2CF9AE}" pid="3" name="ICV">
    <vt:lpwstr>B430003859A04D02B8ADED27941D24C4_12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