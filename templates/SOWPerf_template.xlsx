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8_{9546845C-ACC1-4875-B101-B258D34F83BD}" xr6:coauthVersionLast="47" xr6:coauthVersionMax="47" xr10:uidLastSave="{00000000-0000-0000-0000-000000000000}"/>
  <bookViews>
    <workbookView xWindow="384" yWindow="384" windowWidth="23340" windowHeight="17460" tabRatio="817" xr2:uid="{00000000-000D-0000-FFFF-FFFF00000000}"/>
  </bookViews>
  <sheets>
    <sheet name="RTX5060_X4 Performance test" sheetId="25" r:id="rId1"/>
    <sheet name="RTX5050_X2 Performance test" sheetId="26" r:id="rId2"/>
    <sheet name="推估GN21-X Performance Curve_計算" sheetId="1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6" i="1" l="1"/>
  <c r="H67" i="1" s="1"/>
  <c r="G66" i="1"/>
  <c r="G67" i="1" s="1"/>
  <c r="F66" i="1"/>
  <c r="F67" i="1" s="1"/>
  <c r="H62" i="1"/>
  <c r="G62" i="1"/>
  <c r="F62" i="1"/>
  <c r="H60" i="1"/>
  <c r="G60" i="1"/>
  <c r="F60" i="1"/>
  <c r="H59" i="1"/>
  <c r="G59" i="1"/>
  <c r="F59" i="1"/>
  <c r="H55" i="1"/>
  <c r="G55" i="1"/>
  <c r="F55" i="1"/>
  <c r="H54" i="1"/>
  <c r="G54" i="1"/>
  <c r="F54" i="1"/>
  <c r="H52" i="1"/>
  <c r="G52" i="1"/>
  <c r="F52" i="1"/>
  <c r="H51" i="1"/>
  <c r="G51" i="1"/>
  <c r="F51" i="1"/>
  <c r="H50" i="1"/>
  <c r="G50" i="1"/>
  <c r="F50" i="1"/>
  <c r="H49" i="1"/>
  <c r="G49" i="1"/>
  <c r="F49" i="1"/>
  <c r="H48" i="1"/>
  <c r="G48" i="1"/>
  <c r="F48" i="1"/>
  <c r="H44" i="1"/>
  <c r="G44" i="1"/>
  <c r="F44" i="1"/>
  <c r="H43" i="1"/>
  <c r="G43" i="1"/>
  <c r="F43" i="1"/>
  <c r="H42" i="1"/>
  <c r="G42" i="1"/>
  <c r="F42" i="1"/>
  <c r="H41" i="1"/>
  <c r="G41" i="1"/>
  <c r="F41" i="1"/>
  <c r="H39" i="1"/>
  <c r="G39" i="1"/>
  <c r="F39" i="1"/>
  <c r="H38" i="1"/>
  <c r="G38" i="1"/>
  <c r="F38" i="1"/>
  <c r="H37" i="1"/>
  <c r="G37" i="1"/>
  <c r="F37" i="1"/>
  <c r="H33" i="1"/>
  <c r="G33" i="1"/>
  <c r="F33" i="1"/>
  <c r="H32" i="1"/>
  <c r="G32" i="1"/>
  <c r="F32" i="1"/>
  <c r="H31" i="1"/>
  <c r="G31" i="1"/>
  <c r="F31" i="1"/>
  <c r="H30" i="1"/>
  <c r="G30" i="1"/>
  <c r="F30" i="1"/>
  <c r="H29" i="1"/>
  <c r="G29" i="1"/>
  <c r="F29" i="1"/>
  <c r="H28" i="1"/>
  <c r="G28" i="1"/>
  <c r="F28" i="1"/>
  <c r="H26" i="1"/>
  <c r="G26" i="1"/>
  <c r="F26" i="1"/>
  <c r="H22" i="1"/>
  <c r="G22" i="1"/>
  <c r="F22" i="1"/>
  <c r="H21" i="1"/>
  <c r="G21" i="1"/>
  <c r="F21" i="1"/>
  <c r="H19" i="1"/>
  <c r="G19" i="1"/>
  <c r="F19" i="1"/>
  <c r="H18" i="1"/>
  <c r="G18" i="1"/>
  <c r="F18" i="1"/>
  <c r="H17" i="1"/>
  <c r="G17" i="1"/>
  <c r="F17" i="1"/>
  <c r="H15" i="1"/>
  <c r="G15" i="1"/>
  <c r="F15" i="1"/>
  <c r="H14" i="1"/>
  <c r="G14" i="1"/>
  <c r="F14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4" i="1"/>
  <c r="G4" i="1"/>
  <c r="F4" i="1"/>
</calcChain>
</file>

<file path=xl/sharedStrings.xml><?xml version="1.0" encoding="utf-8"?>
<sst xmlns="http://schemas.openxmlformats.org/spreadsheetml/2006/main" count="242" uniqueCount="71">
  <si>
    <t>Turbo</t>
    <phoneticPr fontId="1" type="noConversion"/>
  </si>
  <si>
    <t>Turbo_2K</t>
    <phoneticPr fontId="1" type="noConversion"/>
  </si>
  <si>
    <t>Turbo_FHD</t>
    <phoneticPr fontId="1" type="noConversion"/>
  </si>
  <si>
    <t>Project Name</t>
    <phoneticPr fontId="1" type="noConversion"/>
  </si>
  <si>
    <t>Graphics</t>
  </si>
  <si>
    <t>Fire strike score</t>
    <phoneticPr fontId="1" type="noConversion"/>
  </si>
  <si>
    <t>Fire strike Graphics score</t>
    <phoneticPr fontId="1" type="noConversion"/>
  </si>
  <si>
    <t>3DMark 
Port Royal</t>
    <phoneticPr fontId="1" type="noConversion"/>
  </si>
  <si>
    <t>Time spy score</t>
    <phoneticPr fontId="1" type="noConversion"/>
  </si>
  <si>
    <t>Time spy Graphics score</t>
    <phoneticPr fontId="1" type="noConversion"/>
  </si>
  <si>
    <t>SOTTR</t>
    <phoneticPr fontId="1" type="noConversion"/>
  </si>
  <si>
    <t xml:space="preserve">Far Cry 6 </t>
    <phoneticPr fontId="1" type="noConversion"/>
  </si>
  <si>
    <t>Metro Exodus 
W/O RTX</t>
    <phoneticPr fontId="1" type="noConversion"/>
  </si>
  <si>
    <t>Metro Exodus 
W/ RTX</t>
    <phoneticPr fontId="1" type="noConversion"/>
  </si>
  <si>
    <t>Cyberpunk 2077</t>
    <phoneticPr fontId="1" type="noConversion"/>
  </si>
  <si>
    <t>Cyberpunk 2077
DLSS X4</t>
    <phoneticPr fontId="1" type="noConversion"/>
  </si>
  <si>
    <t>Rainbow Six Siege</t>
    <phoneticPr fontId="1" type="noConversion"/>
  </si>
  <si>
    <t>Red Dead Redemption2</t>
    <phoneticPr fontId="1" type="noConversion"/>
  </si>
  <si>
    <t>Assassins Creed Valhalla</t>
    <phoneticPr fontId="1" type="noConversion"/>
  </si>
  <si>
    <t>Forza Horizon 5</t>
    <phoneticPr fontId="1" type="noConversion"/>
  </si>
  <si>
    <t>OC</t>
    <phoneticPr fontId="1" type="noConversion"/>
  </si>
  <si>
    <t>TGP</t>
    <phoneticPr fontId="1" type="noConversion"/>
  </si>
  <si>
    <t>CPU/APU</t>
    <phoneticPr fontId="1" type="noConversion"/>
  </si>
  <si>
    <t>System memory</t>
    <phoneticPr fontId="1" type="noConversion"/>
  </si>
  <si>
    <t>PEG</t>
    <phoneticPr fontId="1" type="noConversion"/>
  </si>
  <si>
    <t>NVDD</t>
    <phoneticPr fontId="1" type="noConversion"/>
  </si>
  <si>
    <t>FVDDQ</t>
    <phoneticPr fontId="1" type="noConversion"/>
  </si>
  <si>
    <t>OC(50/100)</t>
  </si>
  <si>
    <t>Gne4X8</t>
    <phoneticPr fontId="1" type="noConversion"/>
  </si>
  <si>
    <t>Cyberpunk 2077
DLSS X4</t>
  </si>
  <si>
    <t>Cyberpunk 2077</t>
  </si>
  <si>
    <t>Assassins Creed Valhalla</t>
  </si>
  <si>
    <t>Gne4X8</t>
  </si>
  <si>
    <t>OS version</t>
  </si>
  <si>
    <t>VBIOS
version</t>
  </si>
  <si>
    <t>GPU driver version</t>
  </si>
  <si>
    <t>RTX5060_GN22-X4</t>
  </si>
  <si>
    <t>TGP=55W+Mode2 30W+DB2.0(15W) = 100W</t>
  </si>
  <si>
    <t>32GB</t>
    <phoneticPr fontId="1" type="noConversion"/>
  </si>
  <si>
    <t>5 phase</t>
    <phoneticPr fontId="1" type="noConversion"/>
  </si>
  <si>
    <t>TGP=55W+Mode2 30W+DB2.0(15W) = 100W</t>
    <phoneticPr fontId="1" type="noConversion"/>
  </si>
  <si>
    <t xml:space="preserve"> 2phase</t>
  </si>
  <si>
    <t>CPU</t>
    <phoneticPr fontId="1" type="noConversion"/>
  </si>
  <si>
    <t>Graphics</t>
    <phoneticPr fontId="1" type="noConversion"/>
  </si>
  <si>
    <t>TGP (W)</t>
    <phoneticPr fontId="1" type="noConversion"/>
  </si>
  <si>
    <t>Display Resolution
(System)</t>
    <phoneticPr fontId="1" type="noConversion"/>
  </si>
  <si>
    <t>3D11
(Graphics Score)</t>
    <phoneticPr fontId="1" type="noConversion"/>
  </si>
  <si>
    <t>FireStrike
(Graphics Score)</t>
    <phoneticPr fontId="1" type="noConversion"/>
  </si>
  <si>
    <t>TimeSpy
(Graphics Score)</t>
    <phoneticPr fontId="1" type="noConversion"/>
  </si>
  <si>
    <t>Intel RPL-S
i9/i7/i5
AMD
Dragon  Range
RMB+ &amp; PHX
R9/R7/R5</t>
    <phoneticPr fontId="1" type="noConversion"/>
  </si>
  <si>
    <t>GN21-X11
(OC 100/150)
(MB1)</t>
    <phoneticPr fontId="1" type="noConversion"/>
  </si>
  <si>
    <t>1920x1080</t>
    <phoneticPr fontId="1" type="noConversion"/>
  </si>
  <si>
    <t>GN21-X9
(OC 100/150)
(MB1)</t>
    <phoneticPr fontId="1" type="noConversion"/>
  </si>
  <si>
    <t>GN21-X6
(OC 100/150)
(MB2)</t>
    <phoneticPr fontId="1" type="noConversion"/>
  </si>
  <si>
    <t>GN21-X4
(OC 100/150)
(MB2)</t>
    <phoneticPr fontId="1" type="noConversion"/>
  </si>
  <si>
    <t>GN21-X2
(OC 100/150)
(MB2)</t>
    <phoneticPr fontId="1" type="noConversion"/>
  </si>
  <si>
    <t>GN20-P0-R
(OC 100/150)
(MB2)</t>
    <phoneticPr fontId="1" type="noConversion"/>
  </si>
  <si>
    <t>Intel RPL-S
i9/i7/i5
AMD
Dragon  Range
RMB+ &amp; PHX
R9/R7/R5</t>
    <phoneticPr fontId="1" type="noConversion"/>
  </si>
  <si>
    <t>RTX2050
(OC 100/150)
(MB2)</t>
    <phoneticPr fontId="1" type="noConversion"/>
  </si>
  <si>
    <t>2phase</t>
    <phoneticPr fontId="1" type="noConversion"/>
  </si>
  <si>
    <t>16GB</t>
    <phoneticPr fontId="1" type="noConversion"/>
  </si>
  <si>
    <t>RTX5050_GN22-X2</t>
    <phoneticPr fontId="1" type="noConversion"/>
  </si>
  <si>
    <t>FA401GM(DDS auto)</t>
    <phoneticPr fontId="1" type="noConversion"/>
  </si>
  <si>
    <t>FA401GM(dGPU)</t>
    <phoneticPr fontId="1" type="noConversion"/>
  </si>
  <si>
    <t>FA401GH(DDS auto)</t>
    <phoneticPr fontId="1" type="noConversion"/>
  </si>
  <si>
    <t>FA401GH(dGPU)</t>
    <phoneticPr fontId="1" type="noConversion"/>
  </si>
  <si>
    <t>AMD AI MAX+-392 12M BGA</t>
    <phoneticPr fontId="1" type="noConversion"/>
  </si>
  <si>
    <t>25H2 26200.7171</t>
    <phoneticPr fontId="1" type="noConversion"/>
  </si>
  <si>
    <t>32.0.15.8183</t>
    <phoneticPr fontId="1" type="noConversion"/>
  </si>
  <si>
    <t>98.07.1.40.68</t>
    <phoneticPr fontId="1" type="noConversion"/>
  </si>
  <si>
    <t>98.06.34.40.70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</si>
</sst>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;[Red]\-0\ "/>
  </numFmts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新細明體"/>
      <family val="2"/>
      <scheme val="minor"/>
    </font>
    <font>
      <sz val="12"/>
      <name val="新細明體"/>
      <family val="2"/>
      <charset val="136"/>
      <scheme val="minor"/>
    </font>
    <font>
      <b/>
      <sz val="12"/>
      <color theme="4" tint="-0.249977111117893"/>
      <name val="Times New Roman"/>
      <family val="1"/>
    </font>
    <font>
      <sz val="11"/>
      <name val="Calibri"/>
      <family val="2"/>
    </font>
    <font>
      <sz val="12"/>
      <color rgb="FF000000"/>
      <name val="Calibri"/>
      <family val="2"/>
    </font>
    <font>
      <b/>
      <sz val="12"/>
      <name val="Times New Roman"/>
      <family val="1"/>
    </font>
    <font>
      <sz val="12"/>
      <name val="新細明體"/>
      <family val="2"/>
      <scheme val="minor"/>
    </font>
    <font>
      <b/>
      <sz val="12"/>
      <name val="新細明體"/>
      <family val="2"/>
      <scheme val="minor"/>
    </font>
    <font>
      <b/>
      <sz val="12"/>
      <color theme="4" tint="-0.249977111117893"/>
      <name val="新細明體"/>
      <family val="2"/>
      <scheme val="minor"/>
    </font>
    <font>
      <b/>
      <sz val="12"/>
      <color rgb="FFFF0000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7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76" fontId="5" fillId="0" borderId="0" xfId="0" applyNumberFormat="1" applyFont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>
      <alignment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7" xfId="0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X11-3D11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Curve_計算'!$D$3:$D$10</c:f>
              <c:numCache>
                <c:formatCode>General</c:formatCode>
                <c:ptCount val="8"/>
                <c:pt idx="0">
                  <c:v>150</c:v>
                </c:pt>
                <c:pt idx="1">
                  <c:v>140</c:v>
                </c:pt>
                <c:pt idx="2">
                  <c:v>125</c:v>
                </c:pt>
                <c:pt idx="3">
                  <c:v>115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</c:numCache>
            </c:numRef>
          </c:xVal>
          <c:yVal>
            <c:numRef>
              <c:f>'推估GN21-X Performance Curve_計算'!$F$3:$F$10</c:f>
              <c:numCache>
                <c:formatCode>0_ ;[Red]\-0\ </c:formatCode>
                <c:ptCount val="8"/>
                <c:pt idx="0">
                  <c:v>55314</c:v>
                </c:pt>
                <c:pt idx="1">
                  <c:v>53409.2</c:v>
                </c:pt>
                <c:pt idx="2">
                  <c:v>50552</c:v>
                </c:pt>
                <c:pt idx="3">
                  <c:v>48647.199999999997</c:v>
                </c:pt>
                <c:pt idx="4">
                  <c:v>47694.8</c:v>
                </c:pt>
                <c:pt idx="5">
                  <c:v>45790</c:v>
                </c:pt>
                <c:pt idx="6">
                  <c:v>43885.2</c:v>
                </c:pt>
                <c:pt idx="7">
                  <c:v>41980.4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8-4979-8ECD-9595B2D0D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6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X11-FireStrike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Curve_計算'!$D$3:$D$10</c:f>
              <c:numCache>
                <c:formatCode>General</c:formatCode>
                <c:ptCount val="8"/>
                <c:pt idx="0">
                  <c:v>150</c:v>
                </c:pt>
                <c:pt idx="1">
                  <c:v>140</c:v>
                </c:pt>
                <c:pt idx="2">
                  <c:v>125</c:v>
                </c:pt>
                <c:pt idx="3">
                  <c:v>115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</c:numCache>
            </c:numRef>
          </c:xVal>
          <c:yVal>
            <c:numRef>
              <c:f>'推估GN21-X Performance Curve_計算'!$G$3:$G$10</c:f>
              <c:numCache>
                <c:formatCode>0_ ;[Red]\-0\ </c:formatCode>
                <c:ptCount val="8"/>
                <c:pt idx="0">
                  <c:v>41373</c:v>
                </c:pt>
                <c:pt idx="1">
                  <c:v>39948.199999999997</c:v>
                </c:pt>
                <c:pt idx="2">
                  <c:v>37811</c:v>
                </c:pt>
                <c:pt idx="3">
                  <c:v>36386.199999999997</c:v>
                </c:pt>
                <c:pt idx="4">
                  <c:v>35673.800000000003</c:v>
                </c:pt>
                <c:pt idx="5">
                  <c:v>34249</c:v>
                </c:pt>
                <c:pt idx="6">
                  <c:v>32824.199999999997</c:v>
                </c:pt>
                <c:pt idx="7">
                  <c:v>31399.4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16-478F-858F-B125FE0A9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6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X11-TimeSpy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Curve_計算'!$D$3:$D$10</c:f>
              <c:numCache>
                <c:formatCode>General</c:formatCode>
                <c:ptCount val="8"/>
                <c:pt idx="0">
                  <c:v>150</c:v>
                </c:pt>
                <c:pt idx="1">
                  <c:v>140</c:v>
                </c:pt>
                <c:pt idx="2">
                  <c:v>125</c:v>
                </c:pt>
                <c:pt idx="3">
                  <c:v>115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</c:numCache>
            </c:numRef>
          </c:xVal>
          <c:yVal>
            <c:numRef>
              <c:f>'推估GN21-X Performance Curve_計算'!$H$3:$H$10</c:f>
              <c:numCache>
                <c:formatCode>0_ ;[Red]\-0\ </c:formatCode>
                <c:ptCount val="8"/>
                <c:pt idx="0">
                  <c:v>16219</c:v>
                </c:pt>
                <c:pt idx="1">
                  <c:v>15642.2</c:v>
                </c:pt>
                <c:pt idx="2">
                  <c:v>14777</c:v>
                </c:pt>
                <c:pt idx="3">
                  <c:v>14200.2</c:v>
                </c:pt>
                <c:pt idx="4">
                  <c:v>13911.8</c:v>
                </c:pt>
                <c:pt idx="5">
                  <c:v>13335</c:v>
                </c:pt>
                <c:pt idx="6">
                  <c:v>12758.2</c:v>
                </c:pt>
                <c:pt idx="7">
                  <c:v>12181.4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C8-419B-A60E-133A59B1A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6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in val="1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X9-3D11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Curve_計算'!$D$13:$D$22</c:f>
              <c:numCache>
                <c:formatCode>General</c:formatCode>
                <c:ptCount val="10"/>
                <c:pt idx="0">
                  <c:v>150</c:v>
                </c:pt>
                <c:pt idx="1">
                  <c:v>140</c:v>
                </c:pt>
                <c:pt idx="2">
                  <c:v>125</c:v>
                </c:pt>
                <c:pt idx="3">
                  <c:v>115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</c:numCache>
            </c:numRef>
          </c:xVal>
          <c:yVal>
            <c:numRef>
              <c:f>'推估GN21-X Performance Curve_計算'!$F$13:$F$22</c:f>
              <c:numCache>
                <c:formatCode>0_ ;[Red]\-0\ </c:formatCode>
                <c:ptCount val="10"/>
                <c:pt idx="0">
                  <c:v>52580</c:v>
                </c:pt>
                <c:pt idx="1">
                  <c:v>50604.285714285717</c:v>
                </c:pt>
                <c:pt idx="2">
                  <c:v>47640.714285714283</c:v>
                </c:pt>
                <c:pt idx="3">
                  <c:v>45665</c:v>
                </c:pt>
                <c:pt idx="4">
                  <c:v>44613.285714285717</c:v>
                </c:pt>
                <c:pt idx="5">
                  <c:v>42509.857142857145</c:v>
                </c:pt>
                <c:pt idx="6">
                  <c:v>40406.428571428572</c:v>
                </c:pt>
                <c:pt idx="7">
                  <c:v>38303</c:v>
                </c:pt>
                <c:pt idx="8">
                  <c:v>36199.571428571428</c:v>
                </c:pt>
                <c:pt idx="9">
                  <c:v>34096.142857142855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8-4B0C-9A67-4FBCB07F1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6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55000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X9-TimeSpy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Curve_計算'!$D$13:$D$22</c:f>
              <c:numCache>
                <c:formatCode>General</c:formatCode>
                <c:ptCount val="10"/>
                <c:pt idx="0">
                  <c:v>150</c:v>
                </c:pt>
                <c:pt idx="1">
                  <c:v>140</c:v>
                </c:pt>
                <c:pt idx="2">
                  <c:v>125</c:v>
                </c:pt>
                <c:pt idx="3">
                  <c:v>115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</c:numCache>
            </c:numRef>
          </c:xVal>
          <c:yVal>
            <c:numRef>
              <c:f>'推估GN21-X Performance Curve_計算'!$H$13:$H$22</c:f>
              <c:numCache>
                <c:formatCode>0_ ;[Red]\-0\ </c:formatCode>
                <c:ptCount val="10"/>
                <c:pt idx="0">
                  <c:v>15770</c:v>
                </c:pt>
                <c:pt idx="1">
                  <c:v>15058.571428571429</c:v>
                </c:pt>
                <c:pt idx="2">
                  <c:v>13991.428571428571</c:v>
                </c:pt>
                <c:pt idx="3">
                  <c:v>13280</c:v>
                </c:pt>
                <c:pt idx="4">
                  <c:v>13005.285714285714</c:v>
                </c:pt>
                <c:pt idx="5">
                  <c:v>12455.857142857143</c:v>
                </c:pt>
                <c:pt idx="6">
                  <c:v>11906.428571428571</c:v>
                </c:pt>
                <c:pt idx="7">
                  <c:v>11357</c:v>
                </c:pt>
                <c:pt idx="8">
                  <c:v>10807.571428571429</c:v>
                </c:pt>
                <c:pt idx="9">
                  <c:v>10258.142857142857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2-4C01-A0BB-9FF9CDF4A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6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16000"/>
          <c:min val="9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X9-FireStrike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Curve_計算'!$D$13:$D$22</c:f>
              <c:numCache>
                <c:formatCode>General</c:formatCode>
                <c:ptCount val="10"/>
                <c:pt idx="0">
                  <c:v>150</c:v>
                </c:pt>
                <c:pt idx="1">
                  <c:v>140</c:v>
                </c:pt>
                <c:pt idx="2">
                  <c:v>125</c:v>
                </c:pt>
                <c:pt idx="3">
                  <c:v>115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</c:numCache>
            </c:numRef>
          </c:xVal>
          <c:yVal>
            <c:numRef>
              <c:f>'推估GN21-X Performance Curve_計算'!$G$13:$G$22</c:f>
              <c:numCache>
                <c:formatCode>0_ ;[Red]\-0\ </c:formatCode>
                <c:ptCount val="10"/>
                <c:pt idx="0">
                  <c:v>40036</c:v>
                </c:pt>
                <c:pt idx="1">
                  <c:v>38328.571428571428</c:v>
                </c:pt>
                <c:pt idx="2">
                  <c:v>35767.428571428572</c:v>
                </c:pt>
                <c:pt idx="3">
                  <c:v>34060</c:v>
                </c:pt>
                <c:pt idx="4">
                  <c:v>33352.714285714283</c:v>
                </c:pt>
                <c:pt idx="5">
                  <c:v>31938.142857142859</c:v>
                </c:pt>
                <c:pt idx="6">
                  <c:v>30523.571428571428</c:v>
                </c:pt>
                <c:pt idx="7">
                  <c:v>29109</c:v>
                </c:pt>
                <c:pt idx="8">
                  <c:v>27694.428571428572</c:v>
                </c:pt>
                <c:pt idx="9">
                  <c:v>26279.857142857141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47-4733-9EE6-9F39A6A68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6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41500"/>
          <c:min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4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X6-3D11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Curve_計算'!$D$25:$D$33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Curve_計算'!$F$25:$F$33</c:f>
              <c:numCache>
                <c:formatCode>0_ ;[Red]\-0\ </c:formatCode>
                <c:ptCount val="9"/>
                <c:pt idx="0">
                  <c:v>44406</c:v>
                </c:pt>
                <c:pt idx="1">
                  <c:v>43452</c:v>
                </c:pt>
                <c:pt idx="2">
                  <c:v>41544</c:v>
                </c:pt>
                <c:pt idx="3">
                  <c:v>39636</c:v>
                </c:pt>
                <c:pt idx="4">
                  <c:v>37728</c:v>
                </c:pt>
                <c:pt idx="5">
                  <c:v>35820</c:v>
                </c:pt>
                <c:pt idx="6">
                  <c:v>33912</c:v>
                </c:pt>
                <c:pt idx="7">
                  <c:v>31050</c:v>
                </c:pt>
                <c:pt idx="8">
                  <c:v>29142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77-4528-9B94-C466D377D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3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45500"/>
          <c:min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4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X6-FireStrike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Curve_計算'!$D$25:$D$33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Curve_計算'!$G$25:$G$33</c:f>
              <c:numCache>
                <c:formatCode>0_ ;[Red]\-0\ </c:formatCode>
                <c:ptCount val="9"/>
                <c:pt idx="0">
                  <c:v>33214</c:v>
                </c:pt>
                <c:pt idx="1">
                  <c:v>32430.333333333332</c:v>
                </c:pt>
                <c:pt idx="2">
                  <c:v>30863</c:v>
                </c:pt>
                <c:pt idx="3">
                  <c:v>29295.666666666668</c:v>
                </c:pt>
                <c:pt idx="4">
                  <c:v>27728.333333333332</c:v>
                </c:pt>
                <c:pt idx="5">
                  <c:v>26161</c:v>
                </c:pt>
                <c:pt idx="6">
                  <c:v>24593.666666666668</c:v>
                </c:pt>
                <c:pt idx="7">
                  <c:v>22242.666666666664</c:v>
                </c:pt>
                <c:pt idx="8">
                  <c:v>20675.333333333336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5-48A1-AEBE-E28549449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3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36000"/>
          <c:min val="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4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X6-TimeSpy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Curve_計算'!$D$25:$D$33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Curve_計算'!$H$25:$H$33</c:f>
              <c:numCache>
                <c:formatCode>0_ ;[Red]\-0\ </c:formatCode>
                <c:ptCount val="9"/>
                <c:pt idx="0">
                  <c:v>13040</c:v>
                </c:pt>
                <c:pt idx="1">
                  <c:v>12808</c:v>
                </c:pt>
                <c:pt idx="2">
                  <c:v>12344</c:v>
                </c:pt>
                <c:pt idx="3">
                  <c:v>11880</c:v>
                </c:pt>
                <c:pt idx="4">
                  <c:v>11416</c:v>
                </c:pt>
                <c:pt idx="5">
                  <c:v>10952</c:v>
                </c:pt>
                <c:pt idx="6">
                  <c:v>10488</c:v>
                </c:pt>
                <c:pt idx="7">
                  <c:v>9792</c:v>
                </c:pt>
                <c:pt idx="8">
                  <c:v>9328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4F-42AD-BA98-BF0927768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2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14000"/>
          <c:min val="8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X4-3D11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Curve_計算'!$D$36:$D$44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Curve_計算'!$F$36:$F$44</c:f>
              <c:numCache>
                <c:formatCode>0_ ;[Red]\-0\ </c:formatCode>
                <c:ptCount val="9"/>
                <c:pt idx="0">
                  <c:v>42981</c:v>
                </c:pt>
                <c:pt idx="1">
                  <c:v>41929.285714285717</c:v>
                </c:pt>
                <c:pt idx="2">
                  <c:v>39825.857142857145</c:v>
                </c:pt>
                <c:pt idx="3">
                  <c:v>37722.428571428572</c:v>
                </c:pt>
                <c:pt idx="4">
                  <c:v>35619</c:v>
                </c:pt>
                <c:pt idx="5">
                  <c:v>33515.571428571428</c:v>
                </c:pt>
                <c:pt idx="6">
                  <c:v>31412.142857142855</c:v>
                </c:pt>
                <c:pt idx="7">
                  <c:v>28257</c:v>
                </c:pt>
                <c:pt idx="8">
                  <c:v>26153.571428571428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2F-428F-8576-3621A72A0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3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43500"/>
          <c:min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3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X4-FireStrike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Curve_計算'!$D$36:$D$44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Curve_計算'!$G$36:$G$44</c:f>
              <c:numCache>
                <c:formatCode>0_ ;[Red]\-0\ </c:formatCode>
                <c:ptCount val="9"/>
                <c:pt idx="0">
                  <c:v>32149</c:v>
                </c:pt>
                <c:pt idx="1">
                  <c:v>31375.857142857145</c:v>
                </c:pt>
                <c:pt idx="2">
                  <c:v>29829.571428571428</c:v>
                </c:pt>
                <c:pt idx="3">
                  <c:v>28283.285714285714</c:v>
                </c:pt>
                <c:pt idx="4">
                  <c:v>26737</c:v>
                </c:pt>
                <c:pt idx="5">
                  <c:v>25190.714285714286</c:v>
                </c:pt>
                <c:pt idx="6">
                  <c:v>23644.428571428572</c:v>
                </c:pt>
                <c:pt idx="7">
                  <c:v>21325</c:v>
                </c:pt>
                <c:pt idx="8">
                  <c:v>19778.714285714286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D-4764-A620-1F1A54588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3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34000"/>
          <c:min val="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4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X4-TimeSpy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Curve_計算'!$D$36:$D$44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Curve_計算'!$H$36:$H$44</c:f>
              <c:numCache>
                <c:formatCode>0_ ;[Red]\-0\ </c:formatCode>
                <c:ptCount val="9"/>
                <c:pt idx="0">
                  <c:v>12525</c:v>
                </c:pt>
                <c:pt idx="1">
                  <c:v>12181.428571428572</c:v>
                </c:pt>
                <c:pt idx="2">
                  <c:v>11494.285714285714</c:v>
                </c:pt>
                <c:pt idx="3">
                  <c:v>10807.142857142857</c:v>
                </c:pt>
                <c:pt idx="4">
                  <c:v>10120</c:v>
                </c:pt>
                <c:pt idx="5">
                  <c:v>9432.8571428571431</c:v>
                </c:pt>
                <c:pt idx="6">
                  <c:v>8745.7142857142862</c:v>
                </c:pt>
                <c:pt idx="7">
                  <c:v>7715</c:v>
                </c:pt>
                <c:pt idx="8">
                  <c:v>7027.8571428571431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2-4FB8-9753-07FE15BFF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2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14000"/>
          <c:min val="6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1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X2-3D11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Curve_計算'!$D$47:$D$55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Curve_計算'!$F$47:$F$55</c:f>
              <c:numCache>
                <c:formatCode>0_ ;[Red]\-0\ </c:formatCode>
                <c:ptCount val="9"/>
                <c:pt idx="0">
                  <c:v>33628</c:v>
                </c:pt>
                <c:pt idx="1">
                  <c:v>33031</c:v>
                </c:pt>
                <c:pt idx="2">
                  <c:v>31837</c:v>
                </c:pt>
                <c:pt idx="3">
                  <c:v>30643</c:v>
                </c:pt>
                <c:pt idx="4">
                  <c:v>29449</c:v>
                </c:pt>
                <c:pt idx="5">
                  <c:v>28255</c:v>
                </c:pt>
                <c:pt idx="6">
                  <c:v>27061</c:v>
                </c:pt>
                <c:pt idx="7">
                  <c:v>25270</c:v>
                </c:pt>
                <c:pt idx="8">
                  <c:v>24076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6-423F-8C73-73F20CBBD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3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36000"/>
          <c:min val="2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X2-FireStrike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Curve_計算'!$D$47:$D$55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Curve_計算'!$G$47:$G$55</c:f>
              <c:numCache>
                <c:formatCode>0_ ;[Red]\-0\ </c:formatCode>
                <c:ptCount val="9"/>
                <c:pt idx="0">
                  <c:v>25536</c:v>
                </c:pt>
                <c:pt idx="1">
                  <c:v>25044.636363636364</c:v>
                </c:pt>
                <c:pt idx="2">
                  <c:v>24061.909090909092</c:v>
                </c:pt>
                <c:pt idx="3">
                  <c:v>23079.181818181816</c:v>
                </c:pt>
                <c:pt idx="4">
                  <c:v>22096.454545454544</c:v>
                </c:pt>
                <c:pt idx="5">
                  <c:v>21113.727272727272</c:v>
                </c:pt>
                <c:pt idx="6">
                  <c:v>20131</c:v>
                </c:pt>
                <c:pt idx="7">
                  <c:v>18656.909090909092</c:v>
                </c:pt>
                <c:pt idx="8">
                  <c:v>17674.181818181816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90-446A-A4E5-784334D7B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3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26000"/>
          <c:min val="1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X2-TimeSpy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Curve_計算'!$D$47:$D$55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Curve_計算'!$H$47:$H$55</c:f>
              <c:numCache>
                <c:formatCode>0_ ;[Red]\-0\ </c:formatCode>
                <c:ptCount val="9"/>
                <c:pt idx="0">
                  <c:v>10040</c:v>
                </c:pt>
                <c:pt idx="1">
                  <c:v>9836.181818181818</c:v>
                </c:pt>
                <c:pt idx="2">
                  <c:v>9428.545454545454</c:v>
                </c:pt>
                <c:pt idx="3">
                  <c:v>9020.9090909090919</c:v>
                </c:pt>
                <c:pt idx="4">
                  <c:v>8613.2727272727279</c:v>
                </c:pt>
                <c:pt idx="5">
                  <c:v>8205.636363636364</c:v>
                </c:pt>
                <c:pt idx="6">
                  <c:v>7798</c:v>
                </c:pt>
                <c:pt idx="7">
                  <c:v>7186.545454545454</c:v>
                </c:pt>
                <c:pt idx="8">
                  <c:v>6778.909090909091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33-48E8-B3F1-9BBA36D61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2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11000"/>
          <c:min val="6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1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GN20-P0-R_3D11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Curve_計算'!$D$58:$D$62</c:f>
              <c:numCache>
                <c:formatCode>General</c:formatCode>
                <c:ptCount val="5"/>
                <c:pt idx="0">
                  <c:v>80</c:v>
                </c:pt>
                <c:pt idx="1">
                  <c:v>75</c:v>
                </c:pt>
                <c:pt idx="2">
                  <c:v>60</c:v>
                </c:pt>
                <c:pt idx="3">
                  <c:v>50</c:v>
                </c:pt>
                <c:pt idx="4">
                  <c:v>35</c:v>
                </c:pt>
              </c:numCache>
            </c:numRef>
          </c:xVal>
          <c:yVal>
            <c:numRef>
              <c:f>'推估GN21-X Performance Curve_計算'!$F$58:$F$62</c:f>
              <c:numCache>
                <c:formatCode>0_ ;[Red]\-0\ </c:formatCode>
                <c:ptCount val="5"/>
                <c:pt idx="0">
                  <c:v>22347</c:v>
                </c:pt>
                <c:pt idx="1">
                  <c:v>22010.166666666668</c:v>
                </c:pt>
                <c:pt idx="2">
                  <c:v>20999.666666666668</c:v>
                </c:pt>
                <c:pt idx="3">
                  <c:v>20326</c:v>
                </c:pt>
                <c:pt idx="4">
                  <c:v>19315.5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E-4D27-AF30-150598D6F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9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23000"/>
          <c:min val="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1" i="0" u="none" strike="noStrike" baseline="0">
                <a:effectLst/>
              </a:rPr>
              <a:t>GN20-P0-R_</a:t>
            </a:r>
            <a:r>
              <a:rPr lang="en-US" sz="1400"/>
              <a:t>FireStrike Graphics Score</a:t>
            </a:r>
            <a:endParaRPr lang="zh-TW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Curve_計算'!$D$58:$D$62</c:f>
              <c:numCache>
                <c:formatCode>General</c:formatCode>
                <c:ptCount val="5"/>
                <c:pt idx="0">
                  <c:v>80</c:v>
                </c:pt>
                <c:pt idx="1">
                  <c:v>75</c:v>
                </c:pt>
                <c:pt idx="2">
                  <c:v>60</c:v>
                </c:pt>
                <c:pt idx="3">
                  <c:v>50</c:v>
                </c:pt>
                <c:pt idx="4">
                  <c:v>35</c:v>
                </c:pt>
              </c:numCache>
            </c:numRef>
          </c:xVal>
          <c:yVal>
            <c:numRef>
              <c:f>'推估GN21-X Performance Curve_計算'!$G$58:$G$62</c:f>
              <c:numCache>
                <c:formatCode>0_ ;[Red]\-0\ </c:formatCode>
                <c:ptCount val="5"/>
                <c:pt idx="0">
                  <c:v>16714</c:v>
                </c:pt>
                <c:pt idx="1">
                  <c:v>16462</c:v>
                </c:pt>
                <c:pt idx="2">
                  <c:v>15706</c:v>
                </c:pt>
                <c:pt idx="3">
                  <c:v>15202</c:v>
                </c:pt>
                <c:pt idx="4">
                  <c:v>14446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E-453B-8D38-9EB647EEE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9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17000"/>
          <c:min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8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1" i="0" u="none" strike="noStrike" baseline="0">
                <a:effectLst/>
              </a:rPr>
              <a:t>GN20-P0-R_</a:t>
            </a:r>
            <a:r>
              <a:rPr lang="en-US" sz="1400"/>
              <a:t>TimeSpy Graphics Score</a:t>
            </a:r>
            <a:endParaRPr lang="zh-TW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Curve_計算'!$D$58:$D$62</c:f>
              <c:numCache>
                <c:formatCode>General</c:formatCode>
                <c:ptCount val="5"/>
                <c:pt idx="0">
                  <c:v>80</c:v>
                </c:pt>
                <c:pt idx="1">
                  <c:v>75</c:v>
                </c:pt>
                <c:pt idx="2">
                  <c:v>60</c:v>
                </c:pt>
                <c:pt idx="3">
                  <c:v>50</c:v>
                </c:pt>
                <c:pt idx="4">
                  <c:v>35</c:v>
                </c:pt>
              </c:numCache>
            </c:numRef>
          </c:xVal>
          <c:yVal>
            <c:numRef>
              <c:f>'推估GN21-X Performance Curve_計算'!$H$58:$H$62</c:f>
              <c:numCache>
                <c:formatCode>0_ ;[Red]\-0\ </c:formatCode>
                <c:ptCount val="5"/>
                <c:pt idx="0">
                  <c:v>6366</c:v>
                </c:pt>
                <c:pt idx="1">
                  <c:v>6331.833333333333</c:v>
                </c:pt>
                <c:pt idx="2">
                  <c:v>6229.333333333333</c:v>
                </c:pt>
                <c:pt idx="3">
                  <c:v>6161</c:v>
                </c:pt>
                <c:pt idx="4">
                  <c:v>6058.5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F-4E85-9838-35E9F3FCC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9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6600"/>
          <c:min val="5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30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RTX2050_3D11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Curve_計算'!$D$65:$D$67</c:f>
              <c:numCache>
                <c:formatCode>General</c:formatCode>
                <c:ptCount val="3"/>
                <c:pt idx="0">
                  <c:v>45</c:v>
                </c:pt>
                <c:pt idx="1">
                  <c:v>40</c:v>
                </c:pt>
                <c:pt idx="2">
                  <c:v>35</c:v>
                </c:pt>
              </c:numCache>
            </c:numRef>
          </c:xVal>
          <c:yVal>
            <c:numRef>
              <c:f>'推估GN21-X Performance Curve_計算'!$F$65:$F$67</c:f>
              <c:numCache>
                <c:formatCode>0_ ;[Red]\-0\ </c:formatCode>
                <c:ptCount val="3"/>
                <c:pt idx="0">
                  <c:v>13067</c:v>
                </c:pt>
                <c:pt idx="1">
                  <c:v>12740.324999999999</c:v>
                </c:pt>
                <c:pt idx="2">
                  <c:v>12421.816874999999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6-49BA-9494-E96A30122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5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135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1" i="0" u="none" strike="noStrike" baseline="0">
                <a:effectLst/>
              </a:rPr>
              <a:t>RTX2050_</a:t>
            </a:r>
            <a:r>
              <a:rPr lang="en-US" sz="1400"/>
              <a:t>FireStrike Graphics Score</a:t>
            </a:r>
            <a:endParaRPr lang="zh-TW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Curve_計算'!$D$65:$D$67</c:f>
              <c:numCache>
                <c:formatCode>General</c:formatCode>
                <c:ptCount val="3"/>
                <c:pt idx="0">
                  <c:v>45</c:v>
                </c:pt>
                <c:pt idx="1">
                  <c:v>40</c:v>
                </c:pt>
                <c:pt idx="2">
                  <c:v>35</c:v>
                </c:pt>
              </c:numCache>
            </c:numRef>
          </c:xVal>
          <c:yVal>
            <c:numRef>
              <c:f>'推估GN21-X Performance Curve_計算'!$G$65:$G$67</c:f>
              <c:numCache>
                <c:formatCode>0_ ;[Red]\-0\ </c:formatCode>
                <c:ptCount val="3"/>
                <c:pt idx="0">
                  <c:v>9679</c:v>
                </c:pt>
                <c:pt idx="1">
                  <c:v>9437.0249999999996</c:v>
                </c:pt>
                <c:pt idx="2">
                  <c:v>9201.0993749999998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9D-4A55-9B18-C990FD979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5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10000"/>
          <c:min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300"/>
        <c:min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1" i="0" u="none" strike="noStrike" baseline="0">
                <a:effectLst/>
              </a:rPr>
              <a:t>RTX2050_</a:t>
            </a:r>
            <a:r>
              <a:rPr lang="en-US" sz="1400"/>
              <a:t>TimeSpy Graphics Score</a:t>
            </a:r>
            <a:endParaRPr lang="zh-TW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Curve_計算'!$D$65:$D$67</c:f>
              <c:numCache>
                <c:formatCode>General</c:formatCode>
                <c:ptCount val="3"/>
                <c:pt idx="0">
                  <c:v>45</c:v>
                </c:pt>
                <c:pt idx="1">
                  <c:v>40</c:v>
                </c:pt>
                <c:pt idx="2">
                  <c:v>35</c:v>
                </c:pt>
              </c:numCache>
            </c:numRef>
          </c:xVal>
          <c:yVal>
            <c:numRef>
              <c:f>'推估GN21-X Performance Curve_計算'!$H$65:$H$67</c:f>
              <c:numCache>
                <c:formatCode>0_ ;[Red]\-0\ </c:formatCode>
                <c:ptCount val="3"/>
                <c:pt idx="0">
                  <c:v>3369</c:v>
                </c:pt>
                <c:pt idx="1">
                  <c:v>3284.7750000000001</c:v>
                </c:pt>
                <c:pt idx="2">
                  <c:v>3202.6556249999999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3-4E53-9BC6-B9836A287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50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ax val="35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  <c:majorUnit val="20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GN21-3D11 Graphics Score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X11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Curve_計算'!$D$3:$D$10</c:f>
              <c:numCache>
                <c:formatCode>General</c:formatCode>
                <c:ptCount val="8"/>
                <c:pt idx="0">
                  <c:v>150</c:v>
                </c:pt>
                <c:pt idx="1">
                  <c:v>140</c:v>
                </c:pt>
                <c:pt idx="2">
                  <c:v>125</c:v>
                </c:pt>
                <c:pt idx="3">
                  <c:v>115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</c:numCache>
            </c:numRef>
          </c:xVal>
          <c:yVal>
            <c:numRef>
              <c:f>'推估GN21-X Performance Curve_計算'!$F$3:$F$10</c:f>
              <c:numCache>
                <c:formatCode>0_ ;[Red]\-0\ </c:formatCode>
                <c:ptCount val="8"/>
                <c:pt idx="0">
                  <c:v>55314</c:v>
                </c:pt>
                <c:pt idx="1">
                  <c:v>53409.2</c:v>
                </c:pt>
                <c:pt idx="2">
                  <c:v>50552</c:v>
                </c:pt>
                <c:pt idx="3">
                  <c:v>48647.199999999997</c:v>
                </c:pt>
                <c:pt idx="4">
                  <c:v>47694.8</c:v>
                </c:pt>
                <c:pt idx="5">
                  <c:v>45790</c:v>
                </c:pt>
                <c:pt idx="6">
                  <c:v>43885.2</c:v>
                </c:pt>
                <c:pt idx="7">
                  <c:v>41980.4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8C-40F6-9471-2177A394BCF1}"/>
            </c:ext>
          </c:extLst>
        </c:ser>
        <c:ser>
          <c:idx val="1"/>
          <c:order val="1"/>
          <c:tx>
            <c:v>X9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Curve_計算'!$D$13:$D$22</c:f>
              <c:numCache>
                <c:formatCode>General</c:formatCode>
                <c:ptCount val="10"/>
                <c:pt idx="0">
                  <c:v>150</c:v>
                </c:pt>
                <c:pt idx="1">
                  <c:v>140</c:v>
                </c:pt>
                <c:pt idx="2">
                  <c:v>125</c:v>
                </c:pt>
                <c:pt idx="3">
                  <c:v>115</c:v>
                </c:pt>
                <c:pt idx="4">
                  <c:v>110</c:v>
                </c:pt>
                <c:pt idx="5">
                  <c:v>100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60</c:v>
                </c:pt>
              </c:numCache>
            </c:numRef>
          </c:xVal>
          <c:yVal>
            <c:numRef>
              <c:f>'推估GN21-X Performance Curve_計算'!$F$13:$F$22</c:f>
              <c:numCache>
                <c:formatCode>0_ ;[Red]\-0\ </c:formatCode>
                <c:ptCount val="10"/>
                <c:pt idx="0">
                  <c:v>52580</c:v>
                </c:pt>
                <c:pt idx="1">
                  <c:v>50604.285714285717</c:v>
                </c:pt>
                <c:pt idx="2">
                  <c:v>47640.714285714283</c:v>
                </c:pt>
                <c:pt idx="3">
                  <c:v>45665</c:v>
                </c:pt>
                <c:pt idx="4">
                  <c:v>44613.285714285717</c:v>
                </c:pt>
                <c:pt idx="5">
                  <c:v>42509.857142857145</c:v>
                </c:pt>
                <c:pt idx="6">
                  <c:v>40406.428571428572</c:v>
                </c:pt>
                <c:pt idx="7">
                  <c:v>38303</c:v>
                </c:pt>
                <c:pt idx="8">
                  <c:v>36199.571428571428</c:v>
                </c:pt>
                <c:pt idx="9">
                  <c:v>34096.142857142855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8C-40F6-9471-2177A394BCF1}"/>
            </c:ext>
          </c:extLst>
        </c:ser>
        <c:ser>
          <c:idx val="2"/>
          <c:order val="2"/>
          <c:tx>
            <c:v>X6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Curve_計算'!$D$25:$D$33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Curve_計算'!$F$25:$F$33</c:f>
              <c:numCache>
                <c:formatCode>0_ ;[Red]\-0\ </c:formatCode>
                <c:ptCount val="9"/>
                <c:pt idx="0">
                  <c:v>44406</c:v>
                </c:pt>
                <c:pt idx="1">
                  <c:v>43452</c:v>
                </c:pt>
                <c:pt idx="2">
                  <c:v>41544</c:v>
                </c:pt>
                <c:pt idx="3">
                  <c:v>39636</c:v>
                </c:pt>
                <c:pt idx="4">
                  <c:v>37728</c:v>
                </c:pt>
                <c:pt idx="5">
                  <c:v>35820</c:v>
                </c:pt>
                <c:pt idx="6">
                  <c:v>33912</c:v>
                </c:pt>
                <c:pt idx="7">
                  <c:v>31050</c:v>
                </c:pt>
                <c:pt idx="8">
                  <c:v>29142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8C-40F6-9471-2177A394BCF1}"/>
            </c:ext>
          </c:extLst>
        </c:ser>
        <c:ser>
          <c:idx val="3"/>
          <c:order val="3"/>
          <c:tx>
            <c:v>X4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Curve_計算'!$D$36:$D$44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Curve_計算'!$F$36:$F$42</c:f>
              <c:numCache>
                <c:formatCode>0_ ;[Red]\-0\ </c:formatCode>
                <c:ptCount val="7"/>
                <c:pt idx="0">
                  <c:v>42981</c:v>
                </c:pt>
                <c:pt idx="1">
                  <c:v>41929.285714285717</c:v>
                </c:pt>
                <c:pt idx="2">
                  <c:v>39825.857142857145</c:v>
                </c:pt>
                <c:pt idx="3">
                  <c:v>37722.428571428572</c:v>
                </c:pt>
                <c:pt idx="4">
                  <c:v>35619</c:v>
                </c:pt>
                <c:pt idx="5">
                  <c:v>33515.571428571428</c:v>
                </c:pt>
                <c:pt idx="6">
                  <c:v>31412.142857142855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8C-40F6-9471-2177A394BCF1}"/>
            </c:ext>
          </c:extLst>
        </c:ser>
        <c:ser>
          <c:idx val="4"/>
          <c:order val="4"/>
          <c:tx>
            <c:v>X2</c:v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'推估GN21-X Performance Curve_計算'!$D$47:$D$55</c:f>
              <c:numCache>
                <c:formatCode>General</c:formatCode>
                <c:ptCount val="9"/>
                <c:pt idx="0">
                  <c:v>115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45</c:v>
                </c:pt>
                <c:pt idx="8">
                  <c:v>35</c:v>
                </c:pt>
              </c:numCache>
            </c:numRef>
          </c:xVal>
          <c:yVal>
            <c:numRef>
              <c:f>'推估GN21-X Performance Curve_計算'!$F$47:$F$55</c:f>
              <c:numCache>
                <c:formatCode>0_ ;[Red]\-0\ </c:formatCode>
                <c:ptCount val="9"/>
                <c:pt idx="0">
                  <c:v>33628</c:v>
                </c:pt>
                <c:pt idx="1">
                  <c:v>33031</c:v>
                </c:pt>
                <c:pt idx="2">
                  <c:v>31837</c:v>
                </c:pt>
                <c:pt idx="3">
                  <c:v>30643</c:v>
                </c:pt>
                <c:pt idx="4">
                  <c:v>29449</c:v>
                </c:pt>
                <c:pt idx="5">
                  <c:v>28255</c:v>
                </c:pt>
                <c:pt idx="6">
                  <c:v>27061</c:v>
                </c:pt>
                <c:pt idx="7">
                  <c:v>25270</c:v>
                </c:pt>
                <c:pt idx="8">
                  <c:v>24076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8C-40F6-9471-2177A394B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744944"/>
        <c:axId val="769753472"/>
      </c:scatterChart>
      <c:valAx>
        <c:axId val="769744944"/>
        <c:scaling>
          <c:orientation val="minMax"/>
          <c:max val="16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53472"/>
        <c:crosses val="autoZero"/>
        <c:crossBetween val="midCat"/>
      </c:valAx>
      <c:valAx>
        <c:axId val="769753472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9744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240581</xdr:colOff>
      <xdr:row>0</xdr:row>
      <xdr:rowOff>202114</xdr:rowOff>
    </xdr:from>
    <xdr:to>
      <xdr:col>14</xdr:col>
      <xdr:colOff>600635</xdr:colOff>
      <xdr:row>10</xdr:row>
      <xdr:rowOff>0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</xdr:row>
      <xdr:rowOff>0</xdr:rowOff>
    </xdr:from>
    <xdr:to>
      <xdr:col>20</xdr:col>
      <xdr:colOff>602102</xdr:colOff>
      <xdr:row>10</xdr:row>
      <xdr:rowOff>4074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00000000-0008-0000-0800-00000E000000}"/>
            </a:ext>
            <a:ext uri="{147F2762-F138-4A5C-976F-8EAC2B608ADB}">
              <a16:predDERef xmlns:a16="http://schemas.microsoft.com/office/drawing/2014/main" pred="{00000000-0008-0000-08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26</xdr:col>
      <xdr:colOff>602102</xdr:colOff>
      <xdr:row>10</xdr:row>
      <xdr:rowOff>4074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00000000-0008-0000-0800-00000F000000}"/>
            </a:ext>
            <a:ext uri="{147F2762-F138-4A5C-976F-8EAC2B608ADB}">
              <a16:predDERef xmlns:a16="http://schemas.microsoft.com/office/drawing/2014/main" pre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12</xdr:row>
      <xdr:rowOff>0</xdr:rowOff>
    </xdr:from>
    <xdr:to>
      <xdr:col>14</xdr:col>
      <xdr:colOff>599539</xdr:colOff>
      <xdr:row>22</xdr:row>
      <xdr:rowOff>189771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00000000-0008-0000-0800-000011000000}"/>
            </a:ext>
            <a:ext uri="{147F2762-F138-4A5C-976F-8EAC2B608ADB}">
              <a16:predDERef xmlns:a16="http://schemas.microsoft.com/office/drawing/2014/main" pred="{00000000-0008-0000-08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12</xdr:row>
      <xdr:rowOff>0</xdr:rowOff>
    </xdr:from>
    <xdr:to>
      <xdr:col>26</xdr:col>
      <xdr:colOff>602102</xdr:colOff>
      <xdr:row>22</xdr:row>
      <xdr:rowOff>189130</xdr:rowOff>
    </xdr:to>
    <xdr:graphicFrame macro="">
      <xdr:nvGraphicFramePr>
        <xdr:cNvPr id="20" name="圖表 19">
          <a:extLst>
            <a:ext uri="{FF2B5EF4-FFF2-40B4-BE49-F238E27FC236}">
              <a16:creationId xmlns:a16="http://schemas.microsoft.com/office/drawing/2014/main" id="{00000000-0008-0000-0800-000014000000}"/>
            </a:ext>
            <a:ext uri="{147F2762-F138-4A5C-976F-8EAC2B608ADB}">
              <a16:predDERef xmlns:a16="http://schemas.microsoft.com/office/drawing/2014/main" pre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12</xdr:row>
      <xdr:rowOff>0</xdr:rowOff>
    </xdr:from>
    <xdr:to>
      <xdr:col>20</xdr:col>
      <xdr:colOff>602102</xdr:colOff>
      <xdr:row>22</xdr:row>
      <xdr:rowOff>189130</xdr:rowOff>
    </xdr:to>
    <xdr:graphicFrame macro="">
      <xdr:nvGraphicFramePr>
        <xdr:cNvPr id="21" name="圖表 20">
          <a:extLst>
            <a:ext uri="{FF2B5EF4-FFF2-40B4-BE49-F238E27FC236}">
              <a16:creationId xmlns:a16="http://schemas.microsoft.com/office/drawing/2014/main" id="{00000000-0008-0000-0800-000015000000}"/>
            </a:ext>
            <a:ext uri="{147F2762-F138-4A5C-976F-8EAC2B608ADB}">
              <a16:predDERef xmlns:a16="http://schemas.microsoft.com/office/drawing/2014/main" pred="{00000000-0008-0000-08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23</xdr:row>
      <xdr:rowOff>217714</xdr:rowOff>
    </xdr:from>
    <xdr:to>
      <xdr:col>14</xdr:col>
      <xdr:colOff>599539</xdr:colOff>
      <xdr:row>33</xdr:row>
      <xdr:rowOff>15600</xdr:rowOff>
    </xdr:to>
    <xdr:graphicFrame macro="">
      <xdr:nvGraphicFramePr>
        <xdr:cNvPr id="23" name="圖表 22">
          <a:extLst>
            <a:ext uri="{FF2B5EF4-FFF2-40B4-BE49-F238E27FC236}">
              <a16:creationId xmlns:a16="http://schemas.microsoft.com/office/drawing/2014/main" id="{00000000-0008-0000-0800-000017000000}"/>
            </a:ext>
            <a:ext uri="{147F2762-F138-4A5C-976F-8EAC2B608ADB}">
              <a16:predDERef xmlns:a16="http://schemas.microsoft.com/office/drawing/2014/main" pred="{00000000-0008-0000-08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23</xdr:row>
      <xdr:rowOff>239485</xdr:rowOff>
    </xdr:from>
    <xdr:to>
      <xdr:col>20</xdr:col>
      <xdr:colOff>602102</xdr:colOff>
      <xdr:row>33</xdr:row>
      <xdr:rowOff>36730</xdr:rowOff>
    </xdr:to>
    <xdr:graphicFrame macro="">
      <xdr:nvGraphicFramePr>
        <xdr:cNvPr id="25" name="圖表 24">
          <a:extLst>
            <a:ext uri="{FF2B5EF4-FFF2-40B4-BE49-F238E27FC236}">
              <a16:creationId xmlns:a16="http://schemas.microsoft.com/office/drawing/2014/main" id="{00000000-0008-0000-0800-000019000000}"/>
            </a:ext>
            <a:ext uri="{147F2762-F138-4A5C-976F-8EAC2B608ADB}">
              <a16:predDERef xmlns:a16="http://schemas.microsoft.com/office/drawing/2014/main" pred="{00000000-0008-0000-08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0</xdr:colOff>
      <xdr:row>23</xdr:row>
      <xdr:rowOff>239485</xdr:rowOff>
    </xdr:from>
    <xdr:to>
      <xdr:col>26</xdr:col>
      <xdr:colOff>602102</xdr:colOff>
      <xdr:row>33</xdr:row>
      <xdr:rowOff>36730</xdr:rowOff>
    </xdr:to>
    <xdr:graphicFrame macro="">
      <xdr:nvGraphicFramePr>
        <xdr:cNvPr id="29" name="圖表 28">
          <a:extLst>
            <a:ext uri="{FF2B5EF4-FFF2-40B4-BE49-F238E27FC236}">
              <a16:creationId xmlns:a16="http://schemas.microsoft.com/office/drawing/2014/main" id="{00000000-0008-0000-0800-00001D000000}"/>
            </a:ext>
            <a:ext uri="{147F2762-F138-4A5C-976F-8EAC2B608ADB}">
              <a16:predDERef xmlns:a16="http://schemas.microsoft.com/office/drawing/2014/main" pred="{00000000-0008-0000-08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14</xdr:col>
      <xdr:colOff>599539</xdr:colOff>
      <xdr:row>43</xdr:row>
      <xdr:rowOff>4715</xdr:rowOff>
    </xdr:to>
    <xdr:graphicFrame macro="">
      <xdr:nvGraphicFramePr>
        <xdr:cNvPr id="30" name="圖表 29">
          <a:extLst>
            <a:ext uri="{FF2B5EF4-FFF2-40B4-BE49-F238E27FC236}">
              <a16:creationId xmlns:a16="http://schemas.microsoft.com/office/drawing/2014/main" id="{00000000-0008-0000-0800-00001E000000}"/>
            </a:ext>
            <a:ext uri="{147F2762-F138-4A5C-976F-8EAC2B608ADB}">
              <a16:predDERef xmlns:a16="http://schemas.microsoft.com/office/drawing/2014/main" pred="{00000000-0008-0000-08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20</xdr:col>
      <xdr:colOff>602102</xdr:colOff>
      <xdr:row>43</xdr:row>
      <xdr:rowOff>4074</xdr:rowOff>
    </xdr:to>
    <xdr:graphicFrame macro="">
      <xdr:nvGraphicFramePr>
        <xdr:cNvPr id="31" name="圖表 30">
          <a:extLst>
            <a:ext uri="{FF2B5EF4-FFF2-40B4-BE49-F238E27FC236}">
              <a16:creationId xmlns:a16="http://schemas.microsoft.com/office/drawing/2014/main" id="{00000000-0008-0000-0800-00001F000000}"/>
            </a:ext>
            <a:ext uri="{147F2762-F138-4A5C-976F-8EAC2B608ADB}">
              <a16:predDERef xmlns:a16="http://schemas.microsoft.com/office/drawing/2014/main" pred="{00000000-0008-0000-08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0</xdr:colOff>
      <xdr:row>34</xdr:row>
      <xdr:rowOff>0</xdr:rowOff>
    </xdr:from>
    <xdr:to>
      <xdr:col>26</xdr:col>
      <xdr:colOff>602102</xdr:colOff>
      <xdr:row>43</xdr:row>
      <xdr:rowOff>4074</xdr:rowOff>
    </xdr:to>
    <xdr:graphicFrame macro="">
      <xdr:nvGraphicFramePr>
        <xdr:cNvPr id="32" name="圖表 31">
          <a:extLst>
            <a:ext uri="{FF2B5EF4-FFF2-40B4-BE49-F238E27FC236}">
              <a16:creationId xmlns:a16="http://schemas.microsoft.com/office/drawing/2014/main" id="{00000000-0008-0000-0800-000020000000}"/>
            </a:ext>
            <a:ext uri="{147F2762-F138-4A5C-976F-8EAC2B608ADB}">
              <a16:predDERef xmlns:a16="http://schemas.microsoft.com/office/drawing/2014/main" pred="{00000000-0008-0000-08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14</xdr:col>
      <xdr:colOff>599539</xdr:colOff>
      <xdr:row>54</xdr:row>
      <xdr:rowOff>4715</xdr:rowOff>
    </xdr:to>
    <xdr:graphicFrame macro="">
      <xdr:nvGraphicFramePr>
        <xdr:cNvPr id="33" name="圖表 32">
          <a:extLst>
            <a:ext uri="{FF2B5EF4-FFF2-40B4-BE49-F238E27FC236}">
              <a16:creationId xmlns:a16="http://schemas.microsoft.com/office/drawing/2014/main" id="{00000000-0008-0000-0800-000021000000}"/>
            </a:ext>
            <a:ext uri="{147F2762-F138-4A5C-976F-8EAC2B608ADB}">
              <a16:predDERef xmlns:a16="http://schemas.microsoft.com/office/drawing/2014/main" pred="{00000000-0008-0000-08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0</xdr:colOff>
      <xdr:row>45</xdr:row>
      <xdr:rowOff>0</xdr:rowOff>
    </xdr:from>
    <xdr:to>
      <xdr:col>20</xdr:col>
      <xdr:colOff>602102</xdr:colOff>
      <xdr:row>54</xdr:row>
      <xdr:rowOff>4074</xdr:rowOff>
    </xdr:to>
    <xdr:graphicFrame macro="">
      <xdr:nvGraphicFramePr>
        <xdr:cNvPr id="34" name="圖表 33">
          <a:extLst>
            <a:ext uri="{FF2B5EF4-FFF2-40B4-BE49-F238E27FC236}">
              <a16:creationId xmlns:a16="http://schemas.microsoft.com/office/drawing/2014/main" id="{00000000-0008-0000-0800-000022000000}"/>
            </a:ext>
            <a:ext uri="{147F2762-F138-4A5C-976F-8EAC2B608ADB}">
              <a16:predDERef xmlns:a16="http://schemas.microsoft.com/office/drawing/2014/main" pred="{00000000-0008-0000-08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26</xdr:col>
      <xdr:colOff>602102</xdr:colOff>
      <xdr:row>54</xdr:row>
      <xdr:rowOff>4074</xdr:rowOff>
    </xdr:to>
    <xdr:graphicFrame macro="">
      <xdr:nvGraphicFramePr>
        <xdr:cNvPr id="35" name="圖表 34">
          <a:extLst>
            <a:ext uri="{FF2B5EF4-FFF2-40B4-BE49-F238E27FC236}">
              <a16:creationId xmlns:a16="http://schemas.microsoft.com/office/drawing/2014/main" id="{00000000-0008-0000-0800-000023000000}"/>
            </a:ext>
            <a:ext uri="{147F2762-F138-4A5C-976F-8EAC2B608ADB}">
              <a16:predDERef xmlns:a16="http://schemas.microsoft.com/office/drawing/2014/main" pred="{00000000-0008-0000-08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0</xdr:colOff>
      <xdr:row>56</xdr:row>
      <xdr:rowOff>0</xdr:rowOff>
    </xdr:from>
    <xdr:to>
      <xdr:col>14</xdr:col>
      <xdr:colOff>599539</xdr:colOff>
      <xdr:row>63</xdr:row>
      <xdr:rowOff>37372</xdr:rowOff>
    </xdr:to>
    <xdr:graphicFrame macro="">
      <xdr:nvGraphicFramePr>
        <xdr:cNvPr id="36" name="圖表 35">
          <a:extLst>
            <a:ext uri="{FF2B5EF4-FFF2-40B4-BE49-F238E27FC236}">
              <a16:creationId xmlns:a16="http://schemas.microsoft.com/office/drawing/2014/main" id="{00000000-0008-0000-0800-000024000000}"/>
            </a:ext>
            <a:ext uri="{147F2762-F138-4A5C-976F-8EAC2B608ADB}">
              <a16:predDERef xmlns:a16="http://schemas.microsoft.com/office/drawing/2014/main" pred="{00000000-0008-0000-08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0</xdr:colOff>
      <xdr:row>56</xdr:row>
      <xdr:rowOff>0</xdr:rowOff>
    </xdr:from>
    <xdr:to>
      <xdr:col>20</xdr:col>
      <xdr:colOff>602102</xdr:colOff>
      <xdr:row>63</xdr:row>
      <xdr:rowOff>36731</xdr:rowOff>
    </xdr:to>
    <xdr:graphicFrame macro="">
      <xdr:nvGraphicFramePr>
        <xdr:cNvPr id="37" name="圖表 36">
          <a:extLst>
            <a:ext uri="{FF2B5EF4-FFF2-40B4-BE49-F238E27FC236}">
              <a16:creationId xmlns:a16="http://schemas.microsoft.com/office/drawing/2014/main" id="{00000000-0008-0000-0800-000025000000}"/>
            </a:ext>
            <a:ext uri="{147F2762-F138-4A5C-976F-8EAC2B608ADB}">
              <a16:predDERef xmlns:a16="http://schemas.microsoft.com/office/drawing/2014/main" pred="{00000000-0008-0000-08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21</xdr:col>
      <xdr:colOff>0</xdr:colOff>
      <xdr:row>56</xdr:row>
      <xdr:rowOff>0</xdr:rowOff>
    </xdr:from>
    <xdr:to>
      <xdr:col>26</xdr:col>
      <xdr:colOff>602102</xdr:colOff>
      <xdr:row>63</xdr:row>
      <xdr:rowOff>36731</xdr:rowOff>
    </xdr:to>
    <xdr:graphicFrame macro="">
      <xdr:nvGraphicFramePr>
        <xdr:cNvPr id="38" name="圖表 37">
          <a:extLst>
            <a:ext uri="{FF2B5EF4-FFF2-40B4-BE49-F238E27FC236}">
              <a16:creationId xmlns:a16="http://schemas.microsoft.com/office/drawing/2014/main" id="{00000000-0008-0000-0800-000026000000}"/>
            </a:ext>
            <a:ext uri="{147F2762-F138-4A5C-976F-8EAC2B608ADB}">
              <a16:predDERef xmlns:a16="http://schemas.microsoft.com/office/drawing/2014/main" pred="{00000000-0008-0000-08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0</xdr:colOff>
      <xdr:row>63</xdr:row>
      <xdr:rowOff>0</xdr:rowOff>
    </xdr:from>
    <xdr:to>
      <xdr:col>14</xdr:col>
      <xdr:colOff>599539</xdr:colOff>
      <xdr:row>68</xdr:row>
      <xdr:rowOff>175918</xdr:rowOff>
    </xdr:to>
    <xdr:graphicFrame macro="">
      <xdr:nvGraphicFramePr>
        <xdr:cNvPr id="39" name="圖表 38">
          <a:extLst>
            <a:ext uri="{FF2B5EF4-FFF2-40B4-BE49-F238E27FC236}">
              <a16:creationId xmlns:a16="http://schemas.microsoft.com/office/drawing/2014/main" id="{00000000-0008-0000-0800-000027000000}"/>
            </a:ext>
            <a:ext uri="{147F2762-F138-4A5C-976F-8EAC2B608ADB}">
              <a16:predDERef xmlns:a16="http://schemas.microsoft.com/office/drawing/2014/main" pred="{00000000-0008-0000-08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0</xdr:colOff>
      <xdr:row>63</xdr:row>
      <xdr:rowOff>0</xdr:rowOff>
    </xdr:from>
    <xdr:to>
      <xdr:col>20</xdr:col>
      <xdr:colOff>602102</xdr:colOff>
      <xdr:row>68</xdr:row>
      <xdr:rowOff>175277</xdr:rowOff>
    </xdr:to>
    <xdr:graphicFrame macro="">
      <xdr:nvGraphicFramePr>
        <xdr:cNvPr id="40" name="圖表 39">
          <a:extLst>
            <a:ext uri="{FF2B5EF4-FFF2-40B4-BE49-F238E27FC236}">
              <a16:creationId xmlns:a16="http://schemas.microsoft.com/office/drawing/2014/main" id="{00000000-0008-0000-0800-000028000000}"/>
            </a:ext>
            <a:ext uri="{147F2762-F138-4A5C-976F-8EAC2B608ADB}">
              <a16:predDERef xmlns:a16="http://schemas.microsoft.com/office/drawing/2014/main" pred="{00000000-0008-0000-08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21</xdr:col>
      <xdr:colOff>0</xdr:colOff>
      <xdr:row>63</xdr:row>
      <xdr:rowOff>0</xdr:rowOff>
    </xdr:from>
    <xdr:to>
      <xdr:col>26</xdr:col>
      <xdr:colOff>602102</xdr:colOff>
      <xdr:row>68</xdr:row>
      <xdr:rowOff>175277</xdr:rowOff>
    </xdr:to>
    <xdr:graphicFrame macro="">
      <xdr:nvGraphicFramePr>
        <xdr:cNvPr id="41" name="圖表 40">
          <a:extLst>
            <a:ext uri="{FF2B5EF4-FFF2-40B4-BE49-F238E27FC236}">
              <a16:creationId xmlns:a16="http://schemas.microsoft.com/office/drawing/2014/main" id="{00000000-0008-0000-0800-000029000000}"/>
            </a:ext>
            <a:ext uri="{147F2762-F138-4A5C-976F-8EAC2B608ADB}">
              <a16:predDERef xmlns:a16="http://schemas.microsoft.com/office/drawing/2014/main" pred="{00000000-0008-0000-08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28</xdr:col>
      <xdr:colOff>-1</xdr:colOff>
      <xdr:row>0</xdr:row>
      <xdr:rowOff>207817</xdr:rowOff>
    </xdr:from>
    <xdr:to>
      <xdr:col>38</xdr:col>
      <xdr:colOff>595744</xdr:colOff>
      <xdr:row>18</xdr:row>
      <xdr:rowOff>41562</xdr:rowOff>
    </xdr:to>
    <xdr:graphicFrame macro="">
      <xdr:nvGraphicFramePr>
        <xdr:cNvPr id="24" name="圖表 23">
          <a:extLst>
            <a:ext uri="{FF2B5EF4-FFF2-40B4-BE49-F238E27FC236}">
              <a16:creationId xmlns:a16="http://schemas.microsoft.com/office/drawing/2014/main" id="{00000000-0008-0000-0800-000018000000}"/>
            </a:ext>
            <a:ext uri="{147F2762-F138-4A5C-976F-8EAC2B608ADB}">
              <a16:predDERef xmlns:a16="http://schemas.microsoft.com/office/drawing/2014/main" pred="{00000000-0008-0000-08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892DC-52E5-470B-8E6C-13578189C816}">
  <dimension ref="A1:AL16"/>
  <sheetViews>
    <sheetView tabSelected="1" workbookViewId="0">
      <pane ySplit="3" topLeftCell="A4" activePane="bottomLeft" state="frozen"/>
      <selection pane="bottomLeft" activeCell="G14" sqref="G14"/>
    </sheetView>
  </sheetViews>
  <sheetFormatPr defaultRowHeight="16.2"/>
  <cols>
    <col min="1" max="1" width="4.33203125" customWidth="1"/>
    <col min="2" max="2" width="19.109375" customWidth="1"/>
    <col min="3" max="3" width="20.77734375" bestFit="1" customWidth="1"/>
    <col min="4" max="27" width="14.77734375" customWidth="1"/>
    <col min="28" max="28" width="14.21875" bestFit="1" customWidth="1"/>
    <col min="29" max="29" width="11.109375" style="13" bestFit="1" customWidth="1"/>
    <col min="30" max="30" width="41" style="13" bestFit="1" customWidth="1"/>
    <col min="31" max="31" width="36.44140625" style="13" bestFit="1" customWidth="1"/>
    <col min="32" max="32" width="14.77734375" style="13" bestFit="1" customWidth="1"/>
    <col min="33" max="33" width="7.77734375" style="13" bestFit="1" customWidth="1"/>
    <col min="34" max="34" width="19.77734375" style="13" customWidth="1"/>
    <col min="35" max="35" width="18.21875" style="13" customWidth="1"/>
    <col min="36" max="36" width="18" style="13" bestFit="1" customWidth="1"/>
    <col min="37" max="37" width="15" style="13" customWidth="1"/>
    <col min="38" max="38" width="17.21875" style="13" bestFit="1" customWidth="1"/>
  </cols>
  <sheetData>
    <row r="1" spans="1:38">
      <c r="B1" s="25"/>
      <c r="C1" s="25"/>
      <c r="AD1" s="26"/>
      <c r="AE1" s="26"/>
      <c r="AF1" s="26"/>
      <c r="AH1" s="26"/>
      <c r="AI1" s="26"/>
    </row>
    <row r="2" spans="1:38">
      <c r="B2" s="40"/>
      <c r="C2" s="41"/>
      <c r="D2" s="42" t="s">
        <v>0</v>
      </c>
      <c r="E2" s="42" t="s">
        <v>0</v>
      </c>
      <c r="F2" s="42" t="s">
        <v>0</v>
      </c>
      <c r="G2" s="42" t="s">
        <v>0</v>
      </c>
      <c r="H2" s="42" t="s">
        <v>0</v>
      </c>
      <c r="I2" s="43" t="s">
        <v>1</v>
      </c>
      <c r="J2" s="44" t="s">
        <v>1</v>
      </c>
      <c r="K2" s="44" t="s">
        <v>1</v>
      </c>
      <c r="L2" s="44" t="s">
        <v>1</v>
      </c>
      <c r="M2" s="43" t="s">
        <v>1</v>
      </c>
      <c r="N2" s="43" t="s">
        <v>1</v>
      </c>
      <c r="O2" s="44" t="s">
        <v>1</v>
      </c>
      <c r="P2" s="44" t="s">
        <v>1</v>
      </c>
      <c r="Q2" s="44" t="s">
        <v>1</v>
      </c>
      <c r="R2" s="44" t="s">
        <v>1</v>
      </c>
      <c r="S2" s="45" t="s">
        <v>2</v>
      </c>
      <c r="T2" s="42" t="s">
        <v>2</v>
      </c>
      <c r="U2" s="42" t="s">
        <v>2</v>
      </c>
      <c r="V2" s="42" t="s">
        <v>2</v>
      </c>
      <c r="W2" s="45" t="s">
        <v>2</v>
      </c>
      <c r="X2" s="45" t="s">
        <v>2</v>
      </c>
      <c r="Y2" s="42" t="s">
        <v>2</v>
      </c>
      <c r="Z2" s="42" t="s">
        <v>2</v>
      </c>
      <c r="AA2" s="42" t="s">
        <v>2</v>
      </c>
      <c r="AB2" s="42" t="s">
        <v>2</v>
      </c>
      <c r="AC2" s="46"/>
      <c r="AD2" s="41"/>
      <c r="AE2" s="47"/>
      <c r="AF2" s="47"/>
      <c r="AG2" s="48"/>
      <c r="AH2" s="41"/>
      <c r="AI2" s="41"/>
      <c r="AJ2" s="48"/>
      <c r="AK2" s="48"/>
      <c r="AL2" s="48"/>
    </row>
    <row r="3" spans="1:38" ht="32.4">
      <c r="A3" s="25"/>
      <c r="B3" s="49" t="s">
        <v>3</v>
      </c>
      <c r="C3" s="50" t="s">
        <v>4</v>
      </c>
      <c r="D3" s="51" t="s">
        <v>5</v>
      </c>
      <c r="E3" s="51" t="s">
        <v>6</v>
      </c>
      <c r="F3" s="51" t="s">
        <v>7</v>
      </c>
      <c r="G3" s="51" t="s">
        <v>8</v>
      </c>
      <c r="H3" s="51" t="s">
        <v>9</v>
      </c>
      <c r="I3" s="52" t="s">
        <v>10</v>
      </c>
      <c r="J3" s="51" t="s">
        <v>11</v>
      </c>
      <c r="K3" s="51" t="s">
        <v>12</v>
      </c>
      <c r="L3" s="51" t="s">
        <v>13</v>
      </c>
      <c r="M3" s="52" t="s">
        <v>30</v>
      </c>
      <c r="N3" s="52" t="s">
        <v>29</v>
      </c>
      <c r="O3" s="51" t="s">
        <v>16</v>
      </c>
      <c r="P3" s="51" t="s">
        <v>17</v>
      </c>
      <c r="Q3" s="53" t="s">
        <v>18</v>
      </c>
      <c r="R3" s="51" t="s">
        <v>19</v>
      </c>
      <c r="S3" s="52" t="s">
        <v>10</v>
      </c>
      <c r="T3" s="51" t="s">
        <v>11</v>
      </c>
      <c r="U3" s="51" t="s">
        <v>12</v>
      </c>
      <c r="V3" s="51" t="s">
        <v>13</v>
      </c>
      <c r="W3" s="52" t="s">
        <v>14</v>
      </c>
      <c r="X3" s="52" t="s">
        <v>15</v>
      </c>
      <c r="Y3" s="51" t="s">
        <v>16</v>
      </c>
      <c r="Z3" s="51" t="s">
        <v>17</v>
      </c>
      <c r="AA3" s="53" t="s">
        <v>18</v>
      </c>
      <c r="AB3" s="51" t="s">
        <v>19</v>
      </c>
      <c r="AC3" s="50" t="s">
        <v>20</v>
      </c>
      <c r="AD3" s="50" t="s">
        <v>21</v>
      </c>
      <c r="AE3" s="50" t="s">
        <v>22</v>
      </c>
      <c r="AF3" s="50" t="s">
        <v>23</v>
      </c>
      <c r="AG3" s="50" t="s">
        <v>24</v>
      </c>
      <c r="AH3" s="50" t="s">
        <v>25</v>
      </c>
      <c r="AI3" s="54" t="s">
        <v>26</v>
      </c>
      <c r="AJ3" s="57" t="s">
        <v>33</v>
      </c>
      <c r="AK3" s="58" t="s">
        <v>34</v>
      </c>
      <c r="AL3" s="57" t="s">
        <v>35</v>
      </c>
    </row>
    <row r="4" spans="1:38">
      <c r="A4" s="14"/>
      <c r="B4" s="30" t="s">
        <v>62</v>
      </c>
      <c r="C4" s="22" t="s">
        <v>36</v>
      </c>
      <c r="D4" s="3">
        <v>27589</v>
      </c>
      <c r="E4" s="3">
        <v>31974</v>
      </c>
      <c r="F4" s="3">
        <v>7489</v>
      </c>
      <c r="G4" s="3">
        <v>11731</v>
      </c>
      <c r="H4" s="3">
        <v>12104</v>
      </c>
      <c r="I4" s="59">
        <v>174</v>
      </c>
      <c r="J4" s="2">
        <v>87</v>
      </c>
      <c r="K4" s="56">
        <v>65.52</v>
      </c>
      <c r="L4" s="56">
        <v>50.58</v>
      </c>
      <c r="M4" s="60">
        <v>66.27</v>
      </c>
      <c r="N4" s="59">
        <v>126.75</v>
      </c>
      <c r="O4" s="3">
        <v>134</v>
      </c>
      <c r="P4" s="55">
        <v>61.206099999999999</v>
      </c>
      <c r="Q4" s="55">
        <v>107</v>
      </c>
      <c r="R4" s="3">
        <v>92</v>
      </c>
      <c r="S4" s="28">
        <v>182</v>
      </c>
      <c r="T4" s="2">
        <v>113</v>
      </c>
      <c r="U4" s="55">
        <v>87.56</v>
      </c>
      <c r="V4" s="55">
        <v>74.44</v>
      </c>
      <c r="W4" s="35">
        <v>103.02</v>
      </c>
      <c r="X4" s="35">
        <v>179.15</v>
      </c>
      <c r="Y4" s="55">
        <v>212</v>
      </c>
      <c r="Z4" s="55">
        <v>79.628100000000003</v>
      </c>
      <c r="AA4" s="55">
        <v>132</v>
      </c>
      <c r="AB4" s="55">
        <v>116</v>
      </c>
      <c r="AC4" s="22" t="s">
        <v>27</v>
      </c>
      <c r="AD4" s="3" t="s">
        <v>37</v>
      </c>
      <c r="AE4" s="3" t="s">
        <v>66</v>
      </c>
      <c r="AF4" s="3" t="s">
        <v>38</v>
      </c>
      <c r="AG4" s="3" t="s">
        <v>32</v>
      </c>
      <c r="AH4" s="3" t="s">
        <v>39</v>
      </c>
      <c r="AI4" s="3" t="s">
        <v>59</v>
      </c>
      <c r="AJ4" s="63" t="s">
        <v>67</v>
      </c>
      <c r="AK4" s="62" t="s">
        <v>70</v>
      </c>
      <c r="AL4" s="62" t="s">
        <v>68</v>
      </c>
    </row>
    <row r="5" spans="1:38">
      <c r="A5" s="14"/>
      <c r="B5" s="30" t="s">
        <v>63</v>
      </c>
      <c r="C5" s="22" t="s">
        <v>36</v>
      </c>
      <c r="D5" s="3">
        <v>27699</v>
      </c>
      <c r="E5" s="3">
        <v>32453</v>
      </c>
      <c r="F5" s="3">
        <v>7533</v>
      </c>
      <c r="G5" s="3">
        <v>11802</v>
      </c>
      <c r="H5" s="3">
        <v>12239</v>
      </c>
      <c r="I5" s="61">
        <v>177</v>
      </c>
      <c r="J5" s="2">
        <v>89</v>
      </c>
      <c r="K5" s="3">
        <v>65.83</v>
      </c>
      <c r="L5" s="3">
        <v>50.94</v>
      </c>
      <c r="M5" s="60">
        <v>66.819999999999993</v>
      </c>
      <c r="N5" s="35">
        <v>129.09</v>
      </c>
      <c r="O5" s="3">
        <v>142</v>
      </c>
      <c r="P5" s="3">
        <v>59.845799999999997</v>
      </c>
      <c r="Q5" s="3">
        <v>108</v>
      </c>
      <c r="R5" s="3">
        <v>83</v>
      </c>
      <c r="S5" s="61">
        <v>187</v>
      </c>
      <c r="T5" s="3">
        <v>115</v>
      </c>
      <c r="U5" s="2">
        <v>88</v>
      </c>
      <c r="V5" s="3">
        <v>74.650000000000006</v>
      </c>
      <c r="W5" s="35">
        <v>105.2</v>
      </c>
      <c r="X5" s="35">
        <v>183.9</v>
      </c>
      <c r="Y5" s="3">
        <v>221</v>
      </c>
      <c r="Z5" s="3">
        <v>78.384900000000002</v>
      </c>
      <c r="AA5" s="3">
        <v>136</v>
      </c>
      <c r="AB5" s="55">
        <v>105</v>
      </c>
      <c r="AC5" s="22" t="s">
        <v>27</v>
      </c>
      <c r="AD5" s="3" t="s">
        <v>40</v>
      </c>
      <c r="AE5" s="3" t="s">
        <v>66</v>
      </c>
      <c r="AF5" s="3" t="s">
        <v>38</v>
      </c>
      <c r="AG5" s="3" t="s">
        <v>28</v>
      </c>
      <c r="AH5" s="3" t="s">
        <v>39</v>
      </c>
      <c r="AI5" s="3" t="s">
        <v>41</v>
      </c>
      <c r="AJ5" s="63" t="s">
        <v>67</v>
      </c>
      <c r="AK5" s="62" t="s">
        <v>70</v>
      </c>
      <c r="AL5" s="62" t="s">
        <v>68</v>
      </c>
    </row>
    <row r="15" spans="1:38" ht="18">
      <c r="AE15" s="65"/>
    </row>
    <row r="16" spans="1:38" ht="18">
      <c r="AE16" s="6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CBF6-C813-41E5-8B40-3CF2C36F6B28}">
  <dimension ref="A1:AL5"/>
  <sheetViews>
    <sheetView workbookViewId="0">
      <selection activeCell="AL11" sqref="AL11"/>
    </sheetView>
  </sheetViews>
  <sheetFormatPr defaultRowHeight="16.2"/>
  <cols>
    <col min="1" max="1" width="4.33203125" customWidth="1"/>
    <col min="2" max="2" width="19.109375" customWidth="1"/>
    <col min="3" max="3" width="20.77734375" bestFit="1" customWidth="1"/>
    <col min="4" max="27" width="14.77734375" customWidth="1"/>
    <col min="28" max="28" width="14.21875" bestFit="1" customWidth="1"/>
    <col min="29" max="29" width="11.109375" bestFit="1" customWidth="1"/>
    <col min="30" max="30" width="41" bestFit="1" customWidth="1"/>
    <col min="31" max="31" width="37.21875" bestFit="1" customWidth="1"/>
    <col min="32" max="32" width="14.77734375" bestFit="1" customWidth="1"/>
    <col min="33" max="33" width="7.77734375" bestFit="1" customWidth="1"/>
    <col min="34" max="34" width="19.77734375" customWidth="1"/>
    <col min="35" max="35" width="18.21875" customWidth="1"/>
    <col min="36" max="36" width="18" bestFit="1" customWidth="1"/>
    <col min="37" max="37" width="15.109375" bestFit="1" customWidth="1"/>
    <col min="38" max="38" width="17.21875" bestFit="1" customWidth="1"/>
  </cols>
  <sheetData>
    <row r="1" spans="1:38">
      <c r="B1" s="25"/>
      <c r="C1" s="25"/>
      <c r="AC1" s="13"/>
      <c r="AD1" s="27"/>
      <c r="AE1" s="25"/>
      <c r="AF1" s="25"/>
      <c r="AH1" s="25"/>
      <c r="AI1" s="25"/>
    </row>
    <row r="2" spans="1:38">
      <c r="B2" s="23"/>
      <c r="C2" s="24"/>
      <c r="D2" s="18" t="s">
        <v>0</v>
      </c>
      <c r="E2" s="18" t="s">
        <v>0</v>
      </c>
      <c r="F2" s="18" t="s">
        <v>0</v>
      </c>
      <c r="G2" s="18" t="s">
        <v>0</v>
      </c>
      <c r="H2" s="18" t="s">
        <v>0</v>
      </c>
      <c r="I2" s="36" t="s">
        <v>1</v>
      </c>
      <c r="J2" s="19" t="s">
        <v>1</v>
      </c>
      <c r="K2" s="19" t="s">
        <v>1</v>
      </c>
      <c r="L2" s="19" t="s">
        <v>1</v>
      </c>
      <c r="M2" s="36" t="s">
        <v>1</v>
      </c>
      <c r="N2" s="36" t="s">
        <v>1</v>
      </c>
      <c r="O2" s="19" t="s">
        <v>1</v>
      </c>
      <c r="P2" s="19" t="s">
        <v>1</v>
      </c>
      <c r="Q2" s="19" t="s">
        <v>1</v>
      </c>
      <c r="R2" s="19" t="s">
        <v>1</v>
      </c>
      <c r="S2" s="33" t="s">
        <v>2</v>
      </c>
      <c r="T2" s="18" t="s">
        <v>2</v>
      </c>
      <c r="U2" s="18" t="s">
        <v>2</v>
      </c>
      <c r="V2" s="18" t="s">
        <v>2</v>
      </c>
      <c r="W2" s="33" t="s">
        <v>2</v>
      </c>
      <c r="X2" s="33" t="s">
        <v>2</v>
      </c>
      <c r="Y2" s="18" t="s">
        <v>2</v>
      </c>
      <c r="Z2" s="18" t="s">
        <v>2</v>
      </c>
      <c r="AA2" s="18" t="s">
        <v>2</v>
      </c>
      <c r="AB2" s="18" t="s">
        <v>2</v>
      </c>
      <c r="AC2" s="1"/>
      <c r="AD2" s="23"/>
      <c r="AE2" s="26"/>
      <c r="AF2" s="26"/>
      <c r="AG2" s="13"/>
      <c r="AH2" s="24"/>
      <c r="AI2" s="24"/>
    </row>
    <row r="3" spans="1:38" ht="46.8">
      <c r="A3" s="25"/>
      <c r="B3" s="20" t="s">
        <v>3</v>
      </c>
      <c r="C3" s="2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34" t="s">
        <v>10</v>
      </c>
      <c r="J3" s="21" t="s">
        <v>11</v>
      </c>
      <c r="K3" s="21" t="s">
        <v>12</v>
      </c>
      <c r="L3" s="21" t="s">
        <v>13</v>
      </c>
      <c r="M3" s="34" t="s">
        <v>30</v>
      </c>
      <c r="N3" s="34" t="s">
        <v>15</v>
      </c>
      <c r="O3" s="16" t="s">
        <v>16</v>
      </c>
      <c r="P3" s="16" t="s">
        <v>17</v>
      </c>
      <c r="Q3" s="17" t="s">
        <v>31</v>
      </c>
      <c r="R3" s="16" t="s">
        <v>19</v>
      </c>
      <c r="S3" s="34" t="s">
        <v>10</v>
      </c>
      <c r="T3" s="21" t="s">
        <v>11</v>
      </c>
      <c r="U3" s="21" t="s">
        <v>12</v>
      </c>
      <c r="V3" s="21" t="s">
        <v>13</v>
      </c>
      <c r="W3" s="34" t="s">
        <v>14</v>
      </c>
      <c r="X3" s="34" t="s">
        <v>15</v>
      </c>
      <c r="Y3" s="16" t="s">
        <v>16</v>
      </c>
      <c r="Z3" s="16" t="s">
        <v>17</v>
      </c>
      <c r="AA3" s="17" t="s">
        <v>18</v>
      </c>
      <c r="AB3" s="16" t="s">
        <v>19</v>
      </c>
      <c r="AC3" s="2" t="s">
        <v>20</v>
      </c>
      <c r="AD3" s="20" t="s">
        <v>21</v>
      </c>
      <c r="AE3" s="2" t="s">
        <v>22</v>
      </c>
      <c r="AF3" s="2" t="s">
        <v>23</v>
      </c>
      <c r="AG3" s="2" t="s">
        <v>24</v>
      </c>
      <c r="AH3" s="2" t="s">
        <v>25</v>
      </c>
      <c r="AI3" s="37" t="s">
        <v>26</v>
      </c>
      <c r="AJ3" s="38" t="s">
        <v>33</v>
      </c>
      <c r="AK3" s="39" t="s">
        <v>34</v>
      </c>
      <c r="AL3" s="38" t="s">
        <v>35</v>
      </c>
    </row>
    <row r="4" spans="1:38">
      <c r="A4" s="14"/>
      <c r="B4" s="30" t="s">
        <v>64</v>
      </c>
      <c r="C4" s="22" t="s">
        <v>61</v>
      </c>
      <c r="D4" s="3">
        <v>23841</v>
      </c>
      <c r="E4" s="3">
        <v>26261</v>
      </c>
      <c r="F4" s="32">
        <v>5926</v>
      </c>
      <c r="G4" s="32">
        <v>9906</v>
      </c>
      <c r="H4" s="32">
        <v>9935</v>
      </c>
      <c r="I4" s="35">
        <v>152</v>
      </c>
      <c r="J4" s="32">
        <v>76</v>
      </c>
      <c r="K4" s="32">
        <v>53.93</v>
      </c>
      <c r="L4" s="32">
        <v>42.89</v>
      </c>
      <c r="M4" s="35">
        <v>53.65</v>
      </c>
      <c r="N4" s="35">
        <v>104.79</v>
      </c>
      <c r="O4" s="32">
        <v>113</v>
      </c>
      <c r="P4" s="32">
        <v>54.301099999999998</v>
      </c>
      <c r="Q4" s="64">
        <v>95</v>
      </c>
      <c r="R4" s="32">
        <v>76</v>
      </c>
      <c r="S4" s="35">
        <v>171</v>
      </c>
      <c r="T4" s="32">
        <v>104</v>
      </c>
      <c r="U4" s="32">
        <v>71.739999999999995</v>
      </c>
      <c r="V4" s="32">
        <v>61.25</v>
      </c>
      <c r="W4" s="35">
        <v>90.94</v>
      </c>
      <c r="X4" s="35">
        <v>153.72</v>
      </c>
      <c r="Y4" s="32">
        <v>194</v>
      </c>
      <c r="Z4" s="32">
        <v>72.201099999999997</v>
      </c>
      <c r="AA4" s="64">
        <v>120</v>
      </c>
      <c r="AB4" s="32">
        <v>96</v>
      </c>
      <c r="AC4" s="22" t="s">
        <v>27</v>
      </c>
      <c r="AD4" s="3" t="s">
        <v>37</v>
      </c>
      <c r="AE4" s="3" t="s">
        <v>66</v>
      </c>
      <c r="AF4" s="29" t="s">
        <v>60</v>
      </c>
      <c r="AG4" s="3" t="s">
        <v>32</v>
      </c>
      <c r="AH4" s="3" t="s">
        <v>39</v>
      </c>
      <c r="AI4" s="3" t="s">
        <v>59</v>
      </c>
      <c r="AJ4" s="63" t="s">
        <v>67</v>
      </c>
      <c r="AK4" s="62" t="s">
        <v>69</v>
      </c>
      <c r="AL4" s="62" t="s">
        <v>68</v>
      </c>
    </row>
    <row r="5" spans="1:38">
      <c r="A5" s="14"/>
      <c r="B5" s="30" t="s">
        <v>65</v>
      </c>
      <c r="C5" s="22" t="s">
        <v>61</v>
      </c>
      <c r="D5" s="31">
        <v>24090</v>
      </c>
      <c r="E5" s="32">
        <v>26543</v>
      </c>
      <c r="F5" s="32">
        <v>5953</v>
      </c>
      <c r="G5" s="32">
        <v>9937</v>
      </c>
      <c r="H5" s="32">
        <v>3372</v>
      </c>
      <c r="I5" s="35">
        <v>154</v>
      </c>
      <c r="J5" s="32">
        <v>77</v>
      </c>
      <c r="K5" s="32">
        <v>54.14</v>
      </c>
      <c r="L5" s="32">
        <v>42.91</v>
      </c>
      <c r="M5" s="35">
        <v>54.3</v>
      </c>
      <c r="N5" s="35">
        <v>105.48</v>
      </c>
      <c r="O5" s="32">
        <v>119</v>
      </c>
      <c r="P5" s="32">
        <v>53.391399999999997</v>
      </c>
      <c r="Q5" s="32">
        <v>96</v>
      </c>
      <c r="R5" s="32">
        <v>77</v>
      </c>
      <c r="S5" s="35">
        <v>180</v>
      </c>
      <c r="T5" s="32">
        <v>105</v>
      </c>
      <c r="U5" s="32">
        <v>71.88</v>
      </c>
      <c r="V5" s="32">
        <v>61.55</v>
      </c>
      <c r="W5" s="35">
        <v>91.98</v>
      </c>
      <c r="X5" s="35">
        <v>157.12</v>
      </c>
      <c r="Y5" s="32">
        <v>199</v>
      </c>
      <c r="Z5" s="32">
        <v>70.171499999999995</v>
      </c>
      <c r="AA5" s="32">
        <v>123</v>
      </c>
      <c r="AB5" s="32">
        <v>95</v>
      </c>
      <c r="AC5" s="22" t="s">
        <v>27</v>
      </c>
      <c r="AD5" s="3" t="s">
        <v>40</v>
      </c>
      <c r="AE5" s="3" t="s">
        <v>66</v>
      </c>
      <c r="AF5" s="29" t="s">
        <v>60</v>
      </c>
      <c r="AG5" s="3" t="s">
        <v>28</v>
      </c>
      <c r="AH5" s="3" t="s">
        <v>39</v>
      </c>
      <c r="AI5" s="3" t="s">
        <v>41</v>
      </c>
      <c r="AJ5" s="63" t="s">
        <v>67</v>
      </c>
      <c r="AK5" s="62" t="s">
        <v>69</v>
      </c>
      <c r="AL5" s="62" t="s">
        <v>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67"/>
  <sheetViews>
    <sheetView topLeftCell="A54" zoomScale="70" zoomScaleNormal="70" workbookViewId="0">
      <selection activeCell="E76" sqref="E76"/>
    </sheetView>
  </sheetViews>
  <sheetFormatPr defaultRowHeight="16.2"/>
  <cols>
    <col min="1" max="1" width="3.21875" customWidth="1"/>
    <col min="2" max="2" width="15.44140625" bestFit="1" customWidth="1"/>
    <col min="3" max="3" width="19.77734375" customWidth="1"/>
    <col min="4" max="4" width="17.44140625" bestFit="1" customWidth="1"/>
    <col min="5" max="5" width="15.44140625" customWidth="1"/>
    <col min="6" max="6" width="18.44140625" customWidth="1"/>
    <col min="7" max="7" width="19.44140625" customWidth="1"/>
    <col min="8" max="8" width="18" customWidth="1"/>
    <col min="9" max="9" width="3.44140625" customWidth="1"/>
  </cols>
  <sheetData>
    <row r="2" spans="2:12" ht="46.8">
      <c r="B2" s="3" t="s">
        <v>42</v>
      </c>
      <c r="C2" s="3" t="s">
        <v>43</v>
      </c>
      <c r="D2" s="3" t="s">
        <v>44</v>
      </c>
      <c r="E2" s="4" t="s">
        <v>45</v>
      </c>
      <c r="F2" s="5" t="s">
        <v>46</v>
      </c>
      <c r="G2" s="5" t="s">
        <v>47</v>
      </c>
      <c r="H2" s="5" t="s">
        <v>48</v>
      </c>
      <c r="K2" s="10"/>
      <c r="L2" s="10"/>
    </row>
    <row r="3" spans="2:12">
      <c r="B3" s="66" t="s">
        <v>49</v>
      </c>
      <c r="C3" s="66" t="s">
        <v>50</v>
      </c>
      <c r="D3" s="6">
        <v>150</v>
      </c>
      <c r="E3" s="70" t="s">
        <v>51</v>
      </c>
      <c r="F3" s="9">
        <v>55314</v>
      </c>
      <c r="G3" s="9">
        <v>41373</v>
      </c>
      <c r="H3" s="9">
        <v>16219</v>
      </c>
      <c r="K3" s="10"/>
      <c r="L3" s="10"/>
    </row>
    <row r="4" spans="2:12">
      <c r="B4" s="67"/>
      <c r="C4" s="67"/>
      <c r="D4" s="8">
        <v>140</v>
      </c>
      <c r="E4" s="68"/>
      <c r="F4" s="7">
        <f>50552+(140-125)*(55314-50552)/(150-125)</f>
        <v>53409.2</v>
      </c>
      <c r="G4" s="7">
        <f>37811+(140-125)*(41373-37811)/(150-125)</f>
        <v>39948.199999999997</v>
      </c>
      <c r="H4" s="7">
        <f>14777+(140-125)*(16219-14777)/(150-125)</f>
        <v>15642.2</v>
      </c>
      <c r="K4" s="10"/>
      <c r="L4" s="10"/>
    </row>
    <row r="5" spans="2:12">
      <c r="B5" s="68"/>
      <c r="C5" s="68"/>
      <c r="D5" s="6">
        <v>125</v>
      </c>
      <c r="E5" s="68"/>
      <c r="F5" s="9">
        <v>50552</v>
      </c>
      <c r="G5" s="9">
        <v>37811</v>
      </c>
      <c r="H5" s="9">
        <v>14777</v>
      </c>
      <c r="K5" s="10"/>
      <c r="L5" s="10"/>
    </row>
    <row r="6" spans="2:12">
      <c r="B6" s="68"/>
      <c r="C6" s="68"/>
      <c r="D6" s="8">
        <v>115</v>
      </c>
      <c r="E6" s="68"/>
      <c r="F6" s="7">
        <f>50552-(125-115)*(55314-50552)/(150-125)</f>
        <v>48647.199999999997</v>
      </c>
      <c r="G6" s="7">
        <f>37811-(125-115)*(41373-37811)/(150-125)</f>
        <v>36386.199999999997</v>
      </c>
      <c r="H6" s="7">
        <f>14777-(125-115)*(16219-14777)/(150-125)</f>
        <v>14200.2</v>
      </c>
    </row>
    <row r="7" spans="2:12">
      <c r="B7" s="68"/>
      <c r="C7" s="68"/>
      <c r="D7" s="8">
        <v>110</v>
      </c>
      <c r="E7" s="68"/>
      <c r="F7" s="7">
        <f>50552-(125-110)*(55314-50552)/(150-125)</f>
        <v>47694.8</v>
      </c>
      <c r="G7" s="7">
        <f>37811-(125-110)*(41373-37811)/(150-125)</f>
        <v>35673.800000000003</v>
      </c>
      <c r="H7" s="7">
        <f>14777-(125-110)*(16219-14777)/(150-125)</f>
        <v>13911.8</v>
      </c>
    </row>
    <row r="8" spans="2:12">
      <c r="B8" s="68"/>
      <c r="C8" s="68"/>
      <c r="D8" s="8">
        <v>100</v>
      </c>
      <c r="E8" s="68"/>
      <c r="F8" s="7">
        <f>50552-(125-100)*(55314-50552)/(150-125)</f>
        <v>45790</v>
      </c>
      <c r="G8" s="7">
        <f>37811-(125-100)*(41373-37811)/(150-125)</f>
        <v>34249</v>
      </c>
      <c r="H8" s="7">
        <f>14777-(125-100)*(16219-14777)/(150-125)</f>
        <v>13335</v>
      </c>
    </row>
    <row r="9" spans="2:12">
      <c r="B9" s="68"/>
      <c r="C9" s="68"/>
      <c r="D9" s="8">
        <v>90</v>
      </c>
      <c r="E9" s="68"/>
      <c r="F9" s="7">
        <f>50552-(125-90)*(55314-50552)/(150-125)</f>
        <v>43885.2</v>
      </c>
      <c r="G9" s="7">
        <f>37811-(125-90)*(41373-37811)/(150-125)</f>
        <v>32824.199999999997</v>
      </c>
      <c r="H9" s="7">
        <f>14777-(125-90)*(16219-14777)/(150-125)</f>
        <v>12758.2</v>
      </c>
    </row>
    <row r="10" spans="2:12">
      <c r="B10" s="69"/>
      <c r="C10" s="69"/>
      <c r="D10" s="8">
        <v>80</v>
      </c>
      <c r="E10" s="69"/>
      <c r="F10" s="7">
        <f>50552-(125-80)*(55314-50552)/(150-125)</f>
        <v>41980.4</v>
      </c>
      <c r="G10" s="7">
        <f>37811-(125-80)*(41373-37811)/(150-125)</f>
        <v>31399.4</v>
      </c>
      <c r="H10" s="7">
        <f>14777-(125-80)*(16219-14777)/(150-125)</f>
        <v>12181.4</v>
      </c>
    </row>
    <row r="11" spans="2:12">
      <c r="B11" s="10"/>
      <c r="C11" s="10"/>
      <c r="D11" s="10"/>
      <c r="E11" s="10"/>
      <c r="F11" s="11"/>
      <c r="G11" s="11"/>
      <c r="H11" s="11"/>
    </row>
    <row r="12" spans="2:12" ht="46.8">
      <c r="B12" s="3" t="s">
        <v>42</v>
      </c>
      <c r="C12" s="3" t="s">
        <v>43</v>
      </c>
      <c r="D12" s="3" t="s">
        <v>44</v>
      </c>
      <c r="E12" s="4" t="s">
        <v>45</v>
      </c>
      <c r="F12" s="5" t="s">
        <v>46</v>
      </c>
      <c r="G12" s="5" t="s">
        <v>47</v>
      </c>
      <c r="H12" s="5" t="s">
        <v>48</v>
      </c>
    </row>
    <row r="13" spans="2:12">
      <c r="B13" s="71" t="s">
        <v>49</v>
      </c>
      <c r="C13" s="71" t="s">
        <v>52</v>
      </c>
      <c r="D13" s="6">
        <v>150</v>
      </c>
      <c r="E13" s="72" t="s">
        <v>51</v>
      </c>
      <c r="F13" s="9">
        <v>52580</v>
      </c>
      <c r="G13" s="9">
        <v>40036</v>
      </c>
      <c r="H13" s="9">
        <v>15770</v>
      </c>
    </row>
    <row r="14" spans="2:12">
      <c r="B14" s="72"/>
      <c r="C14" s="72"/>
      <c r="D14" s="8">
        <v>140</v>
      </c>
      <c r="E14" s="72"/>
      <c r="F14" s="7">
        <f>45665+(140-115)*(52580-45665)/(150-115)</f>
        <v>50604.285714285717</v>
      </c>
      <c r="G14" s="7">
        <f>34060+(140-115)*(40036-34060)/(150-115)</f>
        <v>38328.571428571428</v>
      </c>
      <c r="H14" s="7">
        <f>H16+(D14-D16)*(H13-H16)/(D13-D16)</f>
        <v>15058.571428571429</v>
      </c>
    </row>
    <row r="15" spans="2:12">
      <c r="B15" s="72"/>
      <c r="C15" s="72"/>
      <c r="D15" s="8">
        <v>125</v>
      </c>
      <c r="E15" s="72"/>
      <c r="F15" s="7">
        <f>45665+(125-115)*(52580-45665)/(150-115)</f>
        <v>47640.714285714283</v>
      </c>
      <c r="G15" s="7">
        <f>34060+(125-115)*(40036-34060)/(150-115)</f>
        <v>35767.428571428572</v>
      </c>
      <c r="H15" s="7">
        <f>H16+(D15-D16)*(H13-H16)/(D13-D16)</f>
        <v>13991.428571428571</v>
      </c>
    </row>
    <row r="16" spans="2:12">
      <c r="B16" s="72"/>
      <c r="C16" s="72"/>
      <c r="D16" s="6">
        <v>115</v>
      </c>
      <c r="E16" s="72"/>
      <c r="F16" s="9">
        <v>45665</v>
      </c>
      <c r="G16" s="9">
        <v>34060</v>
      </c>
      <c r="H16" s="9">
        <v>13280</v>
      </c>
    </row>
    <row r="17" spans="2:8">
      <c r="B17" s="72"/>
      <c r="C17" s="72"/>
      <c r="D17" s="8">
        <v>110</v>
      </c>
      <c r="E17" s="72"/>
      <c r="F17" s="7">
        <f>38303+(D17-D20)*(F16-F20)/(D16-D20)</f>
        <v>44613.285714285717</v>
      </c>
      <c r="G17" s="7">
        <f>G20+(D17-D20)*(G16-G20)/(D16-D20)</f>
        <v>33352.714285714283</v>
      </c>
      <c r="H17" s="7">
        <f>H20+(D17-D20)*(H16-H20)/(D16-D20)</f>
        <v>13005.285714285714</v>
      </c>
    </row>
    <row r="18" spans="2:8">
      <c r="B18" s="72"/>
      <c r="C18" s="72"/>
      <c r="D18" s="8">
        <v>100</v>
      </c>
      <c r="E18" s="72"/>
      <c r="F18" s="7">
        <f>F20+(D18-D20)*(F16-F20)/(D16-D20)</f>
        <v>42509.857142857145</v>
      </c>
      <c r="G18" s="7">
        <f>G20+(D18-D20)*(G16-G20)/(D16-D20)</f>
        <v>31938.142857142859</v>
      </c>
      <c r="H18" s="7">
        <f>H20+(D18-D20)*(H16-H20)/(D16-D20)</f>
        <v>12455.857142857143</v>
      </c>
    </row>
    <row r="19" spans="2:8">
      <c r="B19" s="72"/>
      <c r="C19" s="72"/>
      <c r="D19" s="8">
        <v>90</v>
      </c>
      <c r="E19" s="72"/>
      <c r="F19" s="7">
        <f>F20+(D19-D20)*(F16-F20)/(D16-D20)</f>
        <v>40406.428571428572</v>
      </c>
      <c r="G19" s="7">
        <f>G20+(D19-D20)*(G16-G20)/(D16-D20)</f>
        <v>30523.571428571428</v>
      </c>
      <c r="H19" s="7">
        <f>H20+(D19-D20)*(H16-H20)/(D16-D20)</f>
        <v>11906.428571428571</v>
      </c>
    </row>
    <row r="20" spans="2:8">
      <c r="B20" s="72"/>
      <c r="C20" s="72"/>
      <c r="D20" s="6">
        <v>80</v>
      </c>
      <c r="E20" s="72"/>
      <c r="F20" s="9">
        <v>38303</v>
      </c>
      <c r="G20" s="9">
        <v>29109</v>
      </c>
      <c r="H20" s="9">
        <v>11357</v>
      </c>
    </row>
    <row r="21" spans="2:8">
      <c r="B21" s="72"/>
      <c r="C21" s="72"/>
      <c r="D21" s="8">
        <v>70</v>
      </c>
      <c r="E21" s="72"/>
      <c r="F21" s="7">
        <f>F20-(D20-D21)*(F16-F20)/(D16-D20)</f>
        <v>36199.571428571428</v>
      </c>
      <c r="G21" s="7">
        <f>G20-(D20-D21)*(G16-G20)/(D16-D20)</f>
        <v>27694.428571428572</v>
      </c>
      <c r="H21" s="7">
        <f>H20-(D20-D21)*(H16-H20)/(D16-D20)</f>
        <v>10807.571428571429</v>
      </c>
    </row>
    <row r="22" spans="2:8">
      <c r="B22" s="72"/>
      <c r="C22" s="72"/>
      <c r="D22" s="8">
        <v>60</v>
      </c>
      <c r="E22" s="72"/>
      <c r="F22" s="7">
        <f>F20-(D20-D22)*(F16-F20)/(D16-D20)</f>
        <v>34096.142857142855</v>
      </c>
      <c r="G22" s="7">
        <f>G20-(D20-D22)*(G16-G20)/(D16-D20)</f>
        <v>26279.857142857141</v>
      </c>
      <c r="H22" s="7">
        <f>H20-(D20-D22)*(H16-H20)/(D16-D20)</f>
        <v>10258.142857142857</v>
      </c>
    </row>
    <row r="23" spans="2:8">
      <c r="B23" s="10"/>
      <c r="C23" s="10"/>
      <c r="D23" s="10"/>
      <c r="E23" s="10"/>
      <c r="F23" s="11"/>
      <c r="G23" s="11"/>
      <c r="H23" s="11"/>
    </row>
    <row r="24" spans="2:8" ht="46.8">
      <c r="B24" s="3" t="s">
        <v>42</v>
      </c>
      <c r="C24" s="3" t="s">
        <v>43</v>
      </c>
      <c r="D24" s="3" t="s">
        <v>44</v>
      </c>
      <c r="E24" s="4" t="s">
        <v>45</v>
      </c>
      <c r="F24" s="5" t="s">
        <v>46</v>
      </c>
      <c r="G24" s="5" t="s">
        <v>47</v>
      </c>
      <c r="H24" s="5" t="s">
        <v>48</v>
      </c>
    </row>
    <row r="25" spans="2:8">
      <c r="B25" s="71" t="s">
        <v>49</v>
      </c>
      <c r="C25" s="71" t="s">
        <v>53</v>
      </c>
      <c r="D25" s="6">
        <v>115</v>
      </c>
      <c r="E25" s="72" t="s">
        <v>51</v>
      </c>
      <c r="F25" s="9">
        <v>44406</v>
      </c>
      <c r="G25" s="9">
        <v>33214</v>
      </c>
      <c r="H25" s="9">
        <v>13040</v>
      </c>
    </row>
    <row r="26" spans="2:8">
      <c r="B26" s="71"/>
      <c r="C26" s="71"/>
      <c r="D26" s="8">
        <v>110</v>
      </c>
      <c r="E26" s="72"/>
      <c r="F26" s="7">
        <f>F27+(D26-D27)*(F25-F27)/(D25-D27)</f>
        <v>43452</v>
      </c>
      <c r="G26" s="7">
        <f>G27+(D26-D27)*(G25-G27)/(D25-D27)</f>
        <v>32430.333333333332</v>
      </c>
      <c r="H26" s="7">
        <f>H27+(D26-D27)*(H25-H27)/(D25-D27)</f>
        <v>12808</v>
      </c>
    </row>
    <row r="27" spans="2:8">
      <c r="B27" s="72"/>
      <c r="C27" s="72"/>
      <c r="D27" s="6">
        <v>100</v>
      </c>
      <c r="E27" s="72"/>
      <c r="F27" s="9">
        <v>41544</v>
      </c>
      <c r="G27" s="9">
        <v>30863</v>
      </c>
      <c r="H27" s="9">
        <v>12344</v>
      </c>
    </row>
    <row r="28" spans="2:8">
      <c r="B28" s="72"/>
      <c r="C28" s="72"/>
      <c r="D28" s="12">
        <v>90</v>
      </c>
      <c r="E28" s="72"/>
      <c r="F28" s="7">
        <f>F27-(D27-D28)*(F25-F27)/(D25-D27)</f>
        <v>39636</v>
      </c>
      <c r="G28" s="7">
        <f>G27-(D27-D28)*(G25-G27)/(D25-D27)</f>
        <v>29295.666666666668</v>
      </c>
      <c r="H28" s="7">
        <f>H27-(D27-D28)*(H25-H27)/(D25-D27)</f>
        <v>11880</v>
      </c>
    </row>
    <row r="29" spans="2:8">
      <c r="B29" s="72"/>
      <c r="C29" s="72"/>
      <c r="D29" s="8">
        <v>80</v>
      </c>
      <c r="E29" s="72"/>
      <c r="F29" s="7">
        <f>F27-(D27-D29)*(F25-F27)/(D25-D27)</f>
        <v>37728</v>
      </c>
      <c r="G29" s="7">
        <f>G27-(D27-D29)*(G25-G27)/(D25-D27)</f>
        <v>27728.333333333332</v>
      </c>
      <c r="H29" s="7">
        <f>H27-(D27-D29)*(H25-H27)/(D25-D27)</f>
        <v>11416</v>
      </c>
    </row>
    <row r="30" spans="2:8">
      <c r="B30" s="72"/>
      <c r="C30" s="72"/>
      <c r="D30" s="8">
        <v>70</v>
      </c>
      <c r="E30" s="72"/>
      <c r="F30" s="7">
        <f>F27-(D27-D30)*(F25-F27)/(D25-D27)</f>
        <v>35820</v>
      </c>
      <c r="G30" s="7">
        <f>G27-(D27-D30)*(G25-G27)/(D25-D27)</f>
        <v>26161</v>
      </c>
      <c r="H30" s="7">
        <f>H27-(D27-D30)*(H25-H27)/(D25-D27)</f>
        <v>10952</v>
      </c>
    </row>
    <row r="31" spans="2:8">
      <c r="B31" s="72"/>
      <c r="C31" s="72"/>
      <c r="D31" s="8">
        <v>60</v>
      </c>
      <c r="E31" s="72"/>
      <c r="F31" s="7">
        <f>F27-(D27-D31)*(F25-F27)/(D25-D27)</f>
        <v>33912</v>
      </c>
      <c r="G31" s="7">
        <f>G27-(D27-D31)*(G25-G27)/(D25-D27)</f>
        <v>24593.666666666668</v>
      </c>
      <c r="H31" s="7">
        <f>H27-(D27-D31)*(H25-H27)/(D25-D27)</f>
        <v>10488</v>
      </c>
    </row>
    <row r="32" spans="2:8">
      <c r="B32" s="72"/>
      <c r="C32" s="72"/>
      <c r="D32" s="8">
        <v>45</v>
      </c>
      <c r="E32" s="72"/>
      <c r="F32" s="7">
        <f>F27-(D27-D32)*(F25-F27)/(D25-D27)</f>
        <v>31050</v>
      </c>
      <c r="G32" s="7">
        <f>G27-(D27-D32)*(G25-G27)/(D25-D27)</f>
        <v>22242.666666666664</v>
      </c>
      <c r="H32" s="7">
        <f>H27-(D27-D32)*(H25-H27)/(D25-D27)</f>
        <v>9792</v>
      </c>
    </row>
    <row r="33" spans="2:8">
      <c r="B33" s="72"/>
      <c r="C33" s="72"/>
      <c r="D33" s="8">
        <v>35</v>
      </c>
      <c r="E33" s="72"/>
      <c r="F33" s="7">
        <f>F27-(D27-D33)*(F25-F27)/(D25-D27)</f>
        <v>29142</v>
      </c>
      <c r="G33" s="7">
        <f>G27-(D27-D33)*(G25-G27)/(D25-D27)</f>
        <v>20675.333333333336</v>
      </c>
      <c r="H33" s="7">
        <f>H27-(D27-D33)*(H25-H27)/(D25-D27)</f>
        <v>9328</v>
      </c>
    </row>
    <row r="34" spans="2:8">
      <c r="B34" s="10"/>
      <c r="C34" s="10"/>
      <c r="D34" s="10"/>
      <c r="E34" s="10"/>
      <c r="F34" s="11"/>
      <c r="G34" s="11"/>
      <c r="H34" s="11"/>
    </row>
    <row r="35" spans="2:8" ht="46.8">
      <c r="B35" s="3" t="s">
        <v>42</v>
      </c>
      <c r="C35" s="3" t="s">
        <v>43</v>
      </c>
      <c r="D35" s="3" t="s">
        <v>44</v>
      </c>
      <c r="E35" s="4" t="s">
        <v>45</v>
      </c>
      <c r="F35" s="5" t="s">
        <v>46</v>
      </c>
      <c r="G35" s="5" t="s">
        <v>47</v>
      </c>
      <c r="H35" s="5" t="s">
        <v>48</v>
      </c>
    </row>
    <row r="36" spans="2:8">
      <c r="B36" s="71" t="s">
        <v>49</v>
      </c>
      <c r="C36" s="71" t="s">
        <v>54</v>
      </c>
      <c r="D36" s="6">
        <v>115</v>
      </c>
      <c r="E36" s="72" t="s">
        <v>51</v>
      </c>
      <c r="F36" s="9">
        <v>42981</v>
      </c>
      <c r="G36" s="9">
        <v>32149</v>
      </c>
      <c r="H36" s="9">
        <v>12525</v>
      </c>
    </row>
    <row r="37" spans="2:8">
      <c r="B37" s="72"/>
      <c r="C37" s="72"/>
      <c r="D37" s="8">
        <v>110</v>
      </c>
      <c r="E37" s="72"/>
      <c r="F37" s="15">
        <f>F40+(D37-D40)*(F36-F40)/(D36-D40)</f>
        <v>41929.285714285717</v>
      </c>
      <c r="G37" s="15">
        <f>G40+(D37-D40)*(G36-G40)/(D36-D40)</f>
        <v>31375.857142857145</v>
      </c>
      <c r="H37" s="15">
        <f>H40+(D37-D40)*(H36-H40)/(D36-D40)</f>
        <v>12181.428571428572</v>
      </c>
    </row>
    <row r="38" spans="2:8">
      <c r="B38" s="72"/>
      <c r="C38" s="72"/>
      <c r="D38" s="8">
        <v>100</v>
      </c>
      <c r="E38" s="72"/>
      <c r="F38" s="15">
        <f>F40+(D38-D40)*(F36-F40)/(D36-D40)</f>
        <v>39825.857142857145</v>
      </c>
      <c r="G38" s="15">
        <f>G40+(D38-D40)*(G36-G40)/(D36-D40)</f>
        <v>29829.571428571428</v>
      </c>
      <c r="H38" s="15">
        <f>H40+(D38-D40)*(H36-H40)/(D36-D40)</f>
        <v>11494.285714285714</v>
      </c>
    </row>
    <row r="39" spans="2:8">
      <c r="B39" s="72"/>
      <c r="C39" s="72"/>
      <c r="D39" s="8">
        <v>90</v>
      </c>
      <c r="E39" s="72"/>
      <c r="F39" s="15">
        <f>F40+(D39-D40)*(F36-F40)/(D36-D40)</f>
        <v>37722.428571428572</v>
      </c>
      <c r="G39" s="15">
        <f>G40+(D39-D40)*(G36-G40)/(D36-D40)</f>
        <v>28283.285714285714</v>
      </c>
      <c r="H39" s="15">
        <f>H40+(D39-D40)*(H36-H40)/(D36-D40)</f>
        <v>10807.142857142857</v>
      </c>
    </row>
    <row r="40" spans="2:8">
      <c r="B40" s="72"/>
      <c r="C40" s="72"/>
      <c r="D40" s="6">
        <v>80</v>
      </c>
      <c r="E40" s="72"/>
      <c r="F40" s="9">
        <v>35619</v>
      </c>
      <c r="G40" s="9">
        <v>26737</v>
      </c>
      <c r="H40" s="9">
        <v>10120</v>
      </c>
    </row>
    <row r="41" spans="2:8">
      <c r="B41" s="72"/>
      <c r="C41" s="72"/>
      <c r="D41" s="8">
        <v>70</v>
      </c>
      <c r="E41" s="72"/>
      <c r="F41" s="15">
        <f>F40-(D40-D41)*(F36-F40)/(D36-D40)</f>
        <v>33515.571428571428</v>
      </c>
      <c r="G41" s="15">
        <f>G40-(D40-D41)*(G36-G40)/(D36-D40)</f>
        <v>25190.714285714286</v>
      </c>
      <c r="H41" s="15">
        <f>H40-(D40-D41)*(H36-H40)/(D36-D40)</f>
        <v>9432.8571428571431</v>
      </c>
    </row>
    <row r="42" spans="2:8">
      <c r="B42" s="72"/>
      <c r="C42" s="72"/>
      <c r="D42" s="8">
        <v>60</v>
      </c>
      <c r="E42" s="72"/>
      <c r="F42" s="15">
        <f>F40-(D40-D42)*(F36-F40)/(D36-D40)</f>
        <v>31412.142857142855</v>
      </c>
      <c r="G42" s="15">
        <f>G40-(D40-D42)*(G36-G40)/(D36-D40)</f>
        <v>23644.428571428572</v>
      </c>
      <c r="H42" s="15">
        <f>H40-(D40-D42)*(H36-H40)/(D36-D40)</f>
        <v>8745.7142857142862</v>
      </c>
    </row>
    <row r="43" spans="2:8">
      <c r="B43" s="72"/>
      <c r="C43" s="72"/>
      <c r="D43" s="8">
        <v>45</v>
      </c>
      <c r="E43" s="72"/>
      <c r="F43" s="15">
        <f>F40-(D40-D43)*(F36-F40)/(D36-D40)</f>
        <v>28257</v>
      </c>
      <c r="G43" s="15">
        <f>G40-(D40-D43)*(G36-G40)/(D36-D40)</f>
        <v>21325</v>
      </c>
      <c r="H43" s="15">
        <f>H40-(D40-D43)*(H36-H40)/(D36-D40)</f>
        <v>7715</v>
      </c>
    </row>
    <row r="44" spans="2:8">
      <c r="B44" s="72"/>
      <c r="C44" s="72"/>
      <c r="D44" s="8">
        <v>35</v>
      </c>
      <c r="E44" s="72"/>
      <c r="F44" s="15">
        <f>F40-(D40-D44)*(F36-F40)/(D36-D40)</f>
        <v>26153.571428571428</v>
      </c>
      <c r="G44" s="15">
        <f>G40-(D40-D44)*(G36-G40)/(D36-D40)</f>
        <v>19778.714285714286</v>
      </c>
      <c r="H44" s="15">
        <f>H40-(D40-D44)*(H36-H40)/(D36-D40)</f>
        <v>7027.8571428571431</v>
      </c>
    </row>
    <row r="45" spans="2:8">
      <c r="B45" s="10"/>
      <c r="C45" s="10"/>
      <c r="D45" s="10"/>
      <c r="E45" s="10"/>
      <c r="F45" s="11"/>
      <c r="G45" s="11"/>
      <c r="H45" s="11"/>
    </row>
    <row r="46" spans="2:8" ht="46.8">
      <c r="B46" s="3" t="s">
        <v>42</v>
      </c>
      <c r="C46" s="3" t="s">
        <v>43</v>
      </c>
      <c r="D46" s="3" t="s">
        <v>44</v>
      </c>
      <c r="E46" s="4" t="s">
        <v>45</v>
      </c>
      <c r="F46" s="5" t="s">
        <v>46</v>
      </c>
      <c r="G46" s="5" t="s">
        <v>47</v>
      </c>
      <c r="H46" s="5" t="s">
        <v>48</v>
      </c>
    </row>
    <row r="47" spans="2:8">
      <c r="B47" s="71" t="s">
        <v>49</v>
      </c>
      <c r="C47" s="71" t="s">
        <v>55</v>
      </c>
      <c r="D47" s="6">
        <v>115</v>
      </c>
      <c r="E47" s="72" t="s">
        <v>51</v>
      </c>
      <c r="F47" s="9">
        <v>33628</v>
      </c>
      <c r="G47" s="9">
        <v>25536</v>
      </c>
      <c r="H47" s="9">
        <v>10040</v>
      </c>
    </row>
    <row r="48" spans="2:8">
      <c r="B48" s="72"/>
      <c r="C48" s="72"/>
      <c r="D48" s="8">
        <v>110</v>
      </c>
      <c r="E48" s="72"/>
      <c r="F48" s="7">
        <f>F53+(D48-D53)*(F47-F53)/(D47-D53)</f>
        <v>33031</v>
      </c>
      <c r="G48" s="7">
        <f>G53+(D48-D53)*(G47-G53)/(D47-D53)</f>
        <v>25044.636363636364</v>
      </c>
      <c r="H48" s="7">
        <f>H53+(D48-D53)*(H47-H53)/(D47-D53)</f>
        <v>9836.181818181818</v>
      </c>
    </row>
    <row r="49" spans="2:8">
      <c r="B49" s="72"/>
      <c r="C49" s="72"/>
      <c r="D49" s="8">
        <v>100</v>
      </c>
      <c r="E49" s="72"/>
      <c r="F49" s="7">
        <f>F53+(D49-D53)*(F47-F53)/(D47-D53)</f>
        <v>31837</v>
      </c>
      <c r="G49" s="7">
        <f>G53+(D49-D53)*(G47-G53)/(D47-D53)</f>
        <v>24061.909090909092</v>
      </c>
      <c r="H49" s="7">
        <f>H53+(D49-D53)*(H47-H53)/(D47-D53)</f>
        <v>9428.545454545454</v>
      </c>
    </row>
    <row r="50" spans="2:8">
      <c r="B50" s="72"/>
      <c r="C50" s="72"/>
      <c r="D50" s="8">
        <v>90</v>
      </c>
      <c r="E50" s="72"/>
      <c r="F50" s="7">
        <f>F53+(D50-D53)*(F47-F53)/(D47-D53)</f>
        <v>30643</v>
      </c>
      <c r="G50" s="7">
        <f>G53+(D50-D53)*(G47-G53)/(D47-D53)</f>
        <v>23079.181818181816</v>
      </c>
      <c r="H50" s="7">
        <f>H53+(D50-D53)*(H47-H53)/(D47-D53)</f>
        <v>9020.9090909090919</v>
      </c>
    </row>
    <row r="51" spans="2:8">
      <c r="B51" s="72"/>
      <c r="C51" s="72"/>
      <c r="D51" s="8">
        <v>80</v>
      </c>
      <c r="E51" s="72"/>
      <c r="F51" s="7">
        <f>F53+(D51-D53)*(F47-F53)/(D47-D53)</f>
        <v>29449</v>
      </c>
      <c r="G51" s="7">
        <f>G53+(D51-D53)*(G47-G53)/(D47-D53)</f>
        <v>22096.454545454544</v>
      </c>
      <c r="H51" s="7">
        <f>H53+(D51-D53)*(H47-H53)/(D47-D53)</f>
        <v>8613.2727272727279</v>
      </c>
    </row>
    <row r="52" spans="2:8">
      <c r="B52" s="72"/>
      <c r="C52" s="72"/>
      <c r="D52" s="8">
        <v>70</v>
      </c>
      <c r="E52" s="72"/>
      <c r="F52" s="7">
        <f>F53+(D52-D53)*(F47-F53)/(D47-D53)</f>
        <v>28255</v>
      </c>
      <c r="G52" s="7">
        <f>G53+(D52-D53)*(G47-G53)/(D47-D53)</f>
        <v>21113.727272727272</v>
      </c>
      <c r="H52" s="7">
        <f>H53+(D52-D53)*(H47-H53)/(D47-D53)</f>
        <v>8205.636363636364</v>
      </c>
    </row>
    <row r="53" spans="2:8">
      <c r="B53" s="72"/>
      <c r="C53" s="72"/>
      <c r="D53" s="6">
        <v>60</v>
      </c>
      <c r="E53" s="72"/>
      <c r="F53" s="9">
        <v>27061</v>
      </c>
      <c r="G53" s="9">
        <v>20131</v>
      </c>
      <c r="H53" s="9">
        <v>7798</v>
      </c>
    </row>
    <row r="54" spans="2:8">
      <c r="B54" s="72"/>
      <c r="C54" s="72"/>
      <c r="D54" s="8">
        <v>45</v>
      </c>
      <c r="E54" s="72"/>
      <c r="F54" s="7">
        <f>F53-(D53-D54)*(F47-F53)/(D47-D53)</f>
        <v>25270</v>
      </c>
      <c r="G54" s="7">
        <f>G53-(D53-D54)*(G47-G53)/(D47-D53)</f>
        <v>18656.909090909092</v>
      </c>
      <c r="H54" s="7">
        <f>H53-(D53-D54)*(H47-H53)/(D47-D53)</f>
        <v>7186.545454545454</v>
      </c>
    </row>
    <row r="55" spans="2:8">
      <c r="B55" s="72"/>
      <c r="C55" s="72"/>
      <c r="D55" s="8">
        <v>35</v>
      </c>
      <c r="E55" s="72"/>
      <c r="F55" s="7">
        <f>F53-(D53-D55)*(F47-F53)/(D47-D53)</f>
        <v>24076</v>
      </c>
      <c r="G55" s="7">
        <f>G53-(D53-D55)*(G47-G53)/(D47-D53)</f>
        <v>17674.181818181816</v>
      </c>
      <c r="H55" s="7">
        <f>H53-(D53-D55)*(H47-H53)/(D47-D53)</f>
        <v>6778.909090909091</v>
      </c>
    </row>
    <row r="57" spans="2:8" ht="46.8">
      <c r="B57" s="3" t="s">
        <v>42</v>
      </c>
      <c r="C57" s="3" t="s">
        <v>43</v>
      </c>
      <c r="D57" s="3" t="s">
        <v>44</v>
      </c>
      <c r="E57" s="4" t="s">
        <v>45</v>
      </c>
      <c r="F57" s="5" t="s">
        <v>46</v>
      </c>
      <c r="G57" s="5" t="s">
        <v>47</v>
      </c>
      <c r="H57" s="5" t="s">
        <v>48</v>
      </c>
    </row>
    <row r="58" spans="2:8" ht="22.2" customHeight="1">
      <c r="B58" s="71" t="s">
        <v>49</v>
      </c>
      <c r="C58" s="71" t="s">
        <v>56</v>
      </c>
      <c r="D58" s="6">
        <v>80</v>
      </c>
      <c r="E58" s="72" t="s">
        <v>51</v>
      </c>
      <c r="F58" s="9">
        <v>22347</v>
      </c>
      <c r="G58" s="9">
        <v>16714</v>
      </c>
      <c r="H58" s="9">
        <v>6366</v>
      </c>
    </row>
    <row r="59" spans="2:8" ht="22.2" customHeight="1">
      <c r="B59" s="72"/>
      <c r="C59" s="72"/>
      <c r="D59" s="8">
        <v>75</v>
      </c>
      <c r="E59" s="72"/>
      <c r="F59" s="15">
        <f>F61+(D59-D61)*(F58-F61)/(D58-D61)</f>
        <v>22010.166666666668</v>
      </c>
      <c r="G59" s="15">
        <f>G61+(D59-D61)*(G58-G61)/(D58-D61)</f>
        <v>16462</v>
      </c>
      <c r="H59" s="15">
        <f>H61+(D59-D61)*(H58-H61)/(D58-D61)</f>
        <v>6331.833333333333</v>
      </c>
    </row>
    <row r="60" spans="2:8" ht="22.2" customHeight="1">
      <c r="B60" s="72"/>
      <c r="C60" s="72"/>
      <c r="D60" s="8">
        <v>60</v>
      </c>
      <c r="E60" s="72"/>
      <c r="F60" s="15">
        <f>F61+(D60-D61)*(F58-F61)/(D58-D61)</f>
        <v>20999.666666666668</v>
      </c>
      <c r="G60" s="15">
        <f>G61+(D60-D61)*(G58-G61)/(D58-D61)</f>
        <v>15706</v>
      </c>
      <c r="H60" s="15">
        <f>H61+(D60-D61)*(H58-H61)/(D58-D61)</f>
        <v>6229.333333333333</v>
      </c>
    </row>
    <row r="61" spans="2:8" ht="22.2" customHeight="1">
      <c r="B61" s="72"/>
      <c r="C61" s="72"/>
      <c r="D61" s="6">
        <v>50</v>
      </c>
      <c r="E61" s="72"/>
      <c r="F61" s="9">
        <v>20326</v>
      </c>
      <c r="G61" s="9">
        <v>15202</v>
      </c>
      <c r="H61" s="9">
        <v>6161</v>
      </c>
    </row>
    <row r="62" spans="2:8" ht="22.2" customHeight="1">
      <c r="B62" s="72"/>
      <c r="C62" s="72"/>
      <c r="D62" s="8">
        <v>35</v>
      </c>
      <c r="E62" s="72"/>
      <c r="F62" s="15">
        <f>F61-(D61-D62)*(F58-F61)/(D58-D61)</f>
        <v>19315.5</v>
      </c>
      <c r="G62" s="15">
        <f>G61-(D61-D62)*(G58-G61)/(D58-D61)</f>
        <v>14446</v>
      </c>
      <c r="H62" s="15">
        <f>H61-(D61-D62)*(H58-H61)/(D58-D61)</f>
        <v>6058.5</v>
      </c>
    </row>
    <row r="63" spans="2:8">
      <c r="B63" s="10"/>
      <c r="C63" s="10"/>
      <c r="D63" s="10"/>
      <c r="E63" s="10"/>
      <c r="F63" s="11"/>
      <c r="G63" s="11"/>
      <c r="H63" s="11"/>
    </row>
    <row r="64" spans="2:8" ht="46.8">
      <c r="B64" s="3" t="s">
        <v>42</v>
      </c>
      <c r="C64" s="3" t="s">
        <v>43</v>
      </c>
      <c r="D64" s="3" t="s">
        <v>44</v>
      </c>
      <c r="E64" s="4" t="s">
        <v>45</v>
      </c>
      <c r="F64" s="5" t="s">
        <v>46</v>
      </c>
      <c r="G64" s="5" t="s">
        <v>47</v>
      </c>
      <c r="H64" s="5" t="s">
        <v>48</v>
      </c>
    </row>
    <row r="65" spans="2:8" ht="33" customHeight="1">
      <c r="B65" s="66" t="s">
        <v>57</v>
      </c>
      <c r="C65" s="71" t="s">
        <v>58</v>
      </c>
      <c r="D65" s="6">
        <v>45</v>
      </c>
      <c r="E65" s="72" t="s">
        <v>51</v>
      </c>
      <c r="F65" s="9">
        <v>13067</v>
      </c>
      <c r="G65" s="9">
        <v>9679</v>
      </c>
      <c r="H65" s="9">
        <v>3369</v>
      </c>
    </row>
    <row r="66" spans="2:8" ht="33" customHeight="1">
      <c r="B66" s="67"/>
      <c r="C66" s="72"/>
      <c r="D66" s="8">
        <v>40</v>
      </c>
      <c r="E66" s="72"/>
      <c r="F66" s="7">
        <f>F65*0.975</f>
        <v>12740.324999999999</v>
      </c>
      <c r="G66" s="7">
        <f t="shared" ref="G66:H66" si="0">G65*0.975</f>
        <v>9437.0249999999996</v>
      </c>
      <c r="H66" s="7">
        <f t="shared" si="0"/>
        <v>3284.7750000000001</v>
      </c>
    </row>
    <row r="67" spans="2:8" ht="33" customHeight="1">
      <c r="B67" s="73"/>
      <c r="C67" s="72"/>
      <c r="D67" s="8">
        <v>35</v>
      </c>
      <c r="E67" s="72"/>
      <c r="F67" s="7">
        <f>F66*0.975</f>
        <v>12421.816874999999</v>
      </c>
      <c r="G67" s="7">
        <f t="shared" ref="G67" si="1">G66*0.975</f>
        <v>9201.0993749999998</v>
      </c>
      <c r="H67" s="7">
        <f t="shared" ref="H67" si="2">H66*0.975</f>
        <v>3202.6556249999999</v>
      </c>
    </row>
  </sheetData>
  <mergeCells count="21">
    <mergeCell ref="B65:B67"/>
    <mergeCell ref="C65:C67"/>
    <mergeCell ref="E65:E67"/>
    <mergeCell ref="B47:B55"/>
    <mergeCell ref="C47:C55"/>
    <mergeCell ref="E47:E55"/>
    <mergeCell ref="B58:B62"/>
    <mergeCell ref="C58:C62"/>
    <mergeCell ref="E58:E62"/>
    <mergeCell ref="B25:B33"/>
    <mergeCell ref="C25:C33"/>
    <mergeCell ref="E25:E33"/>
    <mergeCell ref="B36:B44"/>
    <mergeCell ref="C36:C44"/>
    <mergeCell ref="E36:E44"/>
    <mergeCell ref="B3:B10"/>
    <mergeCell ref="C3:C10"/>
    <mergeCell ref="E3:E10"/>
    <mergeCell ref="B13:B22"/>
    <mergeCell ref="C13:C22"/>
    <mergeCell ref="E13:E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8d3672-846b-4220-bcfc-5b2be9fc9d7b" xsi:nil="true"/>
    <lcf76f155ced4ddcb4097134ff3c332f xmlns="1fdb1fff-2d7c-4477-8e4a-26ab276268e7">
      <Terms xmlns="http://schemas.microsoft.com/office/infopath/2007/PartnerControls"/>
    </lcf76f155ced4ddcb4097134ff3c332f>
    <SharedWithUsers xmlns="5f8d3672-846b-4220-bcfc-5b2be9fc9d7b">
      <UserInfo>
        <DisplayName>Williams Tsai(蔡仁翔)</DisplayName>
        <AccountId>19</AccountId>
        <AccountType/>
      </UserInfo>
      <UserInfo>
        <DisplayName>Roban Chen(陳俊宏)</DisplayName>
        <AccountId>41</AccountId>
        <AccountType/>
      </UserInfo>
      <UserInfo>
        <DisplayName>Chao-liang Hung(洪朝亮)</DisplayName>
        <AccountId>13</AccountId>
        <AccountType/>
      </UserInfo>
      <UserInfo>
        <DisplayName>David Chu(朱俊彥)</DisplayName>
        <AccountId>32</AccountId>
        <AccountType/>
      </UserInfo>
      <UserInfo>
        <DisplayName>Chris Yang(楊舜閔)</DisplayName>
        <AccountId>147</AccountId>
        <AccountType/>
      </UserInfo>
      <UserInfo>
        <DisplayName>Eric Ho(何思緯)</DisplayName>
        <AccountId>179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869303158F60D44815826DDCA6E52EB" ma:contentTypeVersion="18" ma:contentTypeDescription="建立新的文件。" ma:contentTypeScope="" ma:versionID="c786d5e283898a27e576d95651a7c188">
  <xsd:schema xmlns:xsd="http://www.w3.org/2001/XMLSchema" xmlns:xs="http://www.w3.org/2001/XMLSchema" xmlns:p="http://schemas.microsoft.com/office/2006/metadata/properties" xmlns:ns2="1fdb1fff-2d7c-4477-8e4a-26ab276268e7" xmlns:ns3="5f8d3672-846b-4220-bcfc-5b2be9fc9d7b" targetNamespace="http://schemas.microsoft.com/office/2006/metadata/properties" ma:root="true" ma:fieldsID="6fff353a92866149cea614ed274f94e8" ns2:_="" ns3:_="">
    <xsd:import namespace="1fdb1fff-2d7c-4477-8e4a-26ab276268e7"/>
    <xsd:import namespace="5f8d3672-846b-4220-bcfc-5b2be9fc9d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db1fff-2d7c-4477-8e4a-26ab27626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535f32ca-9e08-423f-8326-450266055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d3672-846b-4220-bcfc-5b2be9fc9d7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4451171-23f6-4d98-a926-169a8687c39f}" ma:internalName="TaxCatchAll" ma:showField="CatchAllData" ma:web="5f8d3672-846b-4220-bcfc-5b2be9fc9d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4DEABE-1724-4D43-B381-7BFD7B708E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037C77-6714-40E3-9282-A72179D59C8D}">
  <ds:schemaRefs>
    <ds:schemaRef ds:uri="http://schemas.microsoft.com/office/2006/metadata/properties"/>
    <ds:schemaRef ds:uri="http://schemas.microsoft.com/office/infopath/2007/PartnerControls"/>
    <ds:schemaRef ds:uri="5f8d3672-846b-4220-bcfc-5b2be9fc9d7b"/>
    <ds:schemaRef ds:uri="1fdb1fff-2d7c-4477-8e4a-26ab276268e7"/>
  </ds:schemaRefs>
</ds:datastoreItem>
</file>

<file path=customXml/itemProps3.xml><?xml version="1.0" encoding="utf-8"?>
<ds:datastoreItem xmlns:ds="http://schemas.openxmlformats.org/officeDocument/2006/customXml" ds:itemID="{AB4EC88A-1A0C-4CE0-848A-A14FA3129A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db1fff-2d7c-4477-8e4a-26ab276268e7"/>
    <ds:schemaRef ds:uri="5f8d3672-846b-4220-bcfc-5b2be9fc9d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RTX5060_X4 Performance test</vt:lpstr>
      <vt:lpstr>RTX5050_X2 Performance test</vt:lpstr>
      <vt:lpstr>推估GN21-X Performance Curve_計算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Ho(何思緯)</dc:creator>
  <cp:keywords/>
  <dc:description/>
  <cp:lastModifiedBy>Yu.Sandra 游惠雯 IEC1</cp:lastModifiedBy>
  <cp:revision/>
  <dcterms:created xsi:type="dcterms:W3CDTF">2022-07-12T03:11:48Z</dcterms:created>
  <dcterms:modified xsi:type="dcterms:W3CDTF">2026-05-12T05:36:16Z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0x0101009869303158F60D44815826DDCA6E52EB</vt:lpwstr>
  </property>
  <property fmtid="{D5CDD505-2E9C-101B-9397-08002B2CF9AE}" pid="3" name="MediaServiceImageTags">
    <vt:lpwstr/>
  </property>
</Properties>
</file>